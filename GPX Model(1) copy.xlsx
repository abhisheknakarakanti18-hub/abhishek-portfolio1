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hishek/Desktop/"/>
    </mc:Choice>
  </mc:AlternateContent>
  <xr:revisionPtr revIDLastSave="0" documentId="8_{05FD6D80-3649-054C-92B6-8F8F7D921996}" xr6:coauthVersionLast="47" xr6:coauthVersionMax="47" xr10:uidLastSave="{00000000-0000-0000-0000-000000000000}"/>
  <bookViews>
    <workbookView xWindow="0" yWindow="0" windowWidth="40960" windowHeight="25600" tabRatio="950" xr2:uid="{40080B9E-9E5D-4D4F-BF78-D3F262E6937F}"/>
  </bookViews>
  <sheets>
    <sheet name="FS Data" sheetId="13" r:id="rId1"/>
    <sheet name="Ratios" sheetId="14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14" l="1"/>
  <c r="F2" i="14"/>
  <c r="E3" i="14"/>
  <c r="D3" i="14"/>
  <c r="C3" i="14"/>
  <c r="B3" i="14"/>
  <c r="E70" i="13"/>
  <c r="D70" i="13"/>
  <c r="C70" i="13"/>
  <c r="B70" i="13"/>
  <c r="L25" i="13"/>
  <c r="K25" i="13"/>
  <c r="J25" i="13"/>
  <c r="I25" i="13"/>
  <c r="E25" i="13"/>
  <c r="D25" i="13"/>
  <c r="C25" i="13"/>
  <c r="B25" i="13"/>
  <c r="N3" i="13"/>
  <c r="M3" i="13"/>
  <c r="L4" i="13"/>
  <c r="K4" i="13"/>
  <c r="J4" i="13"/>
  <c r="I4" i="13"/>
  <c r="G3" i="13"/>
  <c r="F3" i="13"/>
  <c r="E4" i="13"/>
  <c r="D4" i="13"/>
  <c r="C4" i="13"/>
  <c r="F9" i="13"/>
  <c r="M9" i="13" s="1"/>
  <c r="F5" i="13"/>
  <c r="F28" i="13" s="1"/>
  <c r="G21" i="14"/>
  <c r="E66" i="13"/>
  <c r="B66" i="13"/>
  <c r="G20" i="14"/>
  <c r="G24" i="14"/>
  <c r="F6" i="13"/>
  <c r="G92" i="13"/>
  <c r="G91" i="13"/>
  <c r="F65" i="13"/>
  <c r="F95" i="13"/>
  <c r="G95" i="13" s="1"/>
  <c r="E21" i="14"/>
  <c r="D21" i="14"/>
  <c r="C21" i="14"/>
  <c r="B21" i="14"/>
  <c r="F63" i="13"/>
  <c r="G63" i="13" s="1"/>
  <c r="F62" i="13"/>
  <c r="G62" i="13" s="1"/>
  <c r="F92" i="13"/>
  <c r="F91" i="13"/>
  <c r="F90" i="13"/>
  <c r="G90" i="13" s="1"/>
  <c r="B74" i="13"/>
  <c r="F76" i="13"/>
  <c r="G76" i="13" s="1"/>
  <c r="F75" i="13"/>
  <c r="G75" i="13" s="1"/>
  <c r="F37" i="13"/>
  <c r="G37" i="13" s="1"/>
  <c r="F52" i="13"/>
  <c r="G52" i="13" s="1"/>
  <c r="F51" i="13"/>
  <c r="G51" i="13" s="1"/>
  <c r="F50" i="13"/>
  <c r="G50" i="13" s="1"/>
  <c r="B28" i="14"/>
  <c r="B67" i="14"/>
  <c r="C67" i="14"/>
  <c r="D67" i="14"/>
  <c r="E67" i="14"/>
  <c r="F89" i="13" l="1"/>
  <c r="G53" i="13"/>
  <c r="F53" i="13"/>
  <c r="C28" i="14"/>
  <c r="D28" i="14"/>
  <c r="E28" i="14"/>
  <c r="B29" i="14"/>
  <c r="C29" i="14"/>
  <c r="D29" i="14"/>
  <c r="E29" i="14"/>
  <c r="C24" i="14"/>
  <c r="D24" i="14"/>
  <c r="E24" i="14"/>
  <c r="C20" i="14"/>
  <c r="D20" i="14"/>
  <c r="E20" i="14"/>
  <c r="B20" i="14"/>
  <c r="A1" i="14"/>
  <c r="I9" i="13"/>
  <c r="J9" i="13"/>
  <c r="K9" i="13"/>
  <c r="L9" i="13"/>
  <c r="I12" i="13"/>
  <c r="I15" i="13"/>
  <c r="J15" i="13"/>
  <c r="K15" i="13"/>
  <c r="L15" i="13"/>
  <c r="I18" i="13"/>
  <c r="J18" i="13"/>
  <c r="K18" i="13"/>
  <c r="L18" i="13"/>
  <c r="I21" i="13"/>
  <c r="J21" i="13"/>
  <c r="K21" i="13"/>
  <c r="L21" i="13"/>
  <c r="I6" i="13"/>
  <c r="J6" i="13"/>
  <c r="K6" i="13"/>
  <c r="L6" i="13"/>
  <c r="L5" i="13"/>
  <c r="K5" i="13"/>
  <c r="J5" i="13"/>
  <c r="I5" i="13"/>
  <c r="C66" i="13"/>
  <c r="C46" i="14" s="1"/>
  <c r="D66" i="13"/>
  <c r="D46" i="14" s="1"/>
  <c r="E30" i="14"/>
  <c r="B46" i="14"/>
  <c r="F12" i="13"/>
  <c r="B7" i="13"/>
  <c r="B10" i="13" s="1"/>
  <c r="C7" i="13"/>
  <c r="C10" i="13" s="1"/>
  <c r="D7" i="13"/>
  <c r="D10" i="13" s="1"/>
  <c r="E7" i="13"/>
  <c r="E10" i="13" s="1"/>
  <c r="B32" i="13"/>
  <c r="C32" i="13"/>
  <c r="D32" i="13"/>
  <c r="E32" i="13"/>
  <c r="B38" i="13"/>
  <c r="B22" i="14" s="1"/>
  <c r="C38" i="13"/>
  <c r="C22" i="14" s="1"/>
  <c r="D38" i="13"/>
  <c r="D22" i="14" s="1"/>
  <c r="E38" i="13"/>
  <c r="E22" i="14" s="1"/>
  <c r="B47" i="13"/>
  <c r="B16" i="14" s="1"/>
  <c r="C47" i="13"/>
  <c r="C17" i="14" s="1"/>
  <c r="D47" i="13"/>
  <c r="D17" i="14" s="1"/>
  <c r="E47" i="13"/>
  <c r="E17" i="14" s="1"/>
  <c r="B53" i="13"/>
  <c r="B67" i="13" s="1"/>
  <c r="B4" i="14" s="1"/>
  <c r="C53" i="13"/>
  <c r="D53" i="13"/>
  <c r="E53" i="13"/>
  <c r="E67" i="13" s="1"/>
  <c r="E4" i="14" s="1"/>
  <c r="E93" i="13"/>
  <c r="D93" i="13"/>
  <c r="C93" i="13"/>
  <c r="B93" i="13"/>
  <c r="E86" i="13"/>
  <c r="D86" i="13"/>
  <c r="C86" i="13"/>
  <c r="B86" i="13"/>
  <c r="C67" i="13" l="1"/>
  <c r="C4" i="14" s="1"/>
  <c r="D67" i="13"/>
  <c r="D4" i="14" s="1"/>
  <c r="C5" i="14"/>
  <c r="E5" i="14"/>
  <c r="B13" i="13"/>
  <c r="B7" i="14" s="1"/>
  <c r="B5" i="14"/>
  <c r="J12" i="13"/>
  <c r="C74" i="13"/>
  <c r="K12" i="13"/>
  <c r="D74" i="13"/>
  <c r="L12" i="13"/>
  <c r="E74" i="13"/>
  <c r="D30" i="14"/>
  <c r="C30" i="14"/>
  <c r="C13" i="13"/>
  <c r="C15" i="14"/>
  <c r="E16" i="14"/>
  <c r="D16" i="14"/>
  <c r="C16" i="14"/>
  <c r="B17" i="14"/>
  <c r="B15" i="14"/>
  <c r="D15" i="14"/>
  <c r="B35" i="14"/>
  <c r="E46" i="14"/>
  <c r="E13" i="13"/>
  <c r="E7" i="14" s="1"/>
  <c r="B30" i="14"/>
  <c r="E15" i="14"/>
  <c r="D13" i="13"/>
  <c r="D7" i="14" s="1"/>
  <c r="E35" i="14"/>
  <c r="D35" i="14"/>
  <c r="K7" i="13"/>
  <c r="C35" i="14"/>
  <c r="J7" i="13"/>
  <c r="I7" i="13"/>
  <c r="E55" i="13"/>
  <c r="J10" i="13"/>
  <c r="L10" i="13"/>
  <c r="K10" i="13"/>
  <c r="I10" i="13"/>
  <c r="L7" i="13"/>
  <c r="D55" i="13"/>
  <c r="C55" i="13"/>
  <c r="B55" i="13"/>
  <c r="E40" i="13"/>
  <c r="L28" i="13" s="1"/>
  <c r="D40" i="13"/>
  <c r="C40" i="13"/>
  <c r="B40" i="13"/>
  <c r="D5" i="14" l="1"/>
  <c r="J13" i="13"/>
  <c r="C7" i="14"/>
  <c r="B79" i="14"/>
  <c r="B36" i="14"/>
  <c r="B16" i="13"/>
  <c r="B39" i="14" s="1"/>
  <c r="B32" i="14"/>
  <c r="I13" i="13"/>
  <c r="C79" i="14"/>
  <c r="C16" i="13"/>
  <c r="J16" i="13" s="1"/>
  <c r="B54" i="14"/>
  <c r="B62" i="14"/>
  <c r="B72" i="14"/>
  <c r="B73" i="14"/>
  <c r="C62" i="14"/>
  <c r="C54" i="14"/>
  <c r="D16" i="13"/>
  <c r="K16" i="13" s="1"/>
  <c r="C32" i="14"/>
  <c r="D54" i="14"/>
  <c r="D62" i="14"/>
  <c r="E54" i="14"/>
  <c r="E62" i="14"/>
  <c r="E32" i="14"/>
  <c r="C36" i="14"/>
  <c r="B38" i="14"/>
  <c r="L13" i="13"/>
  <c r="D36" i="14"/>
  <c r="D32" i="14"/>
  <c r="B31" i="14"/>
  <c r="E16" i="13"/>
  <c r="L16" i="13" s="1"/>
  <c r="E79" i="14"/>
  <c r="K13" i="13"/>
  <c r="E36" i="14"/>
  <c r="D79" i="14"/>
  <c r="C72" i="14"/>
  <c r="C81" i="14"/>
  <c r="C73" i="14"/>
  <c r="C80" i="14"/>
  <c r="C27" i="14"/>
  <c r="C23" i="14"/>
  <c r="D72" i="14"/>
  <c r="D81" i="14"/>
  <c r="D73" i="14"/>
  <c r="D80" i="14"/>
  <c r="D27" i="14"/>
  <c r="D23" i="14"/>
  <c r="D38" i="14"/>
  <c r="C31" i="14"/>
  <c r="E80" i="14"/>
  <c r="E72" i="14"/>
  <c r="E81" i="14"/>
  <c r="E73" i="14"/>
  <c r="E23" i="14"/>
  <c r="E27" i="14"/>
  <c r="E38" i="14"/>
  <c r="E31" i="14"/>
  <c r="D31" i="14"/>
  <c r="I32" i="13"/>
  <c r="B80" i="14"/>
  <c r="B23" i="14"/>
  <c r="B81" i="14"/>
  <c r="B27" i="14"/>
  <c r="C38" i="14"/>
  <c r="K28" i="13"/>
  <c r="K35" i="13"/>
  <c r="K36" i="13"/>
  <c r="K31" i="13"/>
  <c r="K37" i="13"/>
  <c r="K38" i="13"/>
  <c r="K40" i="13"/>
  <c r="K29" i="13"/>
  <c r="K30" i="13"/>
  <c r="D60" i="13"/>
  <c r="K55" i="13" s="1"/>
  <c r="E60" i="13"/>
  <c r="J31" i="13"/>
  <c r="J38" i="13"/>
  <c r="J29" i="13"/>
  <c r="J35" i="13"/>
  <c r="J30" i="13"/>
  <c r="J37" i="13"/>
  <c r="J28" i="13"/>
  <c r="J40" i="13"/>
  <c r="J36" i="13"/>
  <c r="L30" i="13"/>
  <c r="L36" i="13"/>
  <c r="L37" i="13"/>
  <c r="L38" i="13"/>
  <c r="L35" i="13"/>
  <c r="L31" i="13"/>
  <c r="L32" i="13"/>
  <c r="L40" i="13"/>
  <c r="L29" i="13"/>
  <c r="B60" i="13"/>
  <c r="I55" i="13" s="1"/>
  <c r="C60" i="13"/>
  <c r="J55" i="13" s="1"/>
  <c r="K32" i="13"/>
  <c r="I29" i="13"/>
  <c r="I31" i="13"/>
  <c r="I37" i="13"/>
  <c r="I28" i="13"/>
  <c r="I38" i="13"/>
  <c r="I35" i="13"/>
  <c r="I30" i="13"/>
  <c r="I36" i="13"/>
  <c r="I40" i="13"/>
  <c r="J32" i="13"/>
  <c r="B19" i="13" l="1"/>
  <c r="B22" i="13" s="1"/>
  <c r="I16" i="13"/>
  <c r="B78" i="14"/>
  <c r="D19" i="13"/>
  <c r="K19" i="13" s="1"/>
  <c r="D78" i="14"/>
  <c r="C19" i="13"/>
  <c r="J19" i="13" s="1"/>
  <c r="C78" i="14"/>
  <c r="L55" i="13"/>
  <c r="L44" i="13"/>
  <c r="C39" i="14"/>
  <c r="D39" i="14"/>
  <c r="E39" i="14"/>
  <c r="E19" i="13"/>
  <c r="L19" i="13" s="1"/>
  <c r="E78" i="14"/>
  <c r="L51" i="13"/>
  <c r="L58" i="13"/>
  <c r="L46" i="13"/>
  <c r="L45" i="13"/>
  <c r="L60" i="13"/>
  <c r="L52" i="13"/>
  <c r="L50" i="13"/>
  <c r="L53" i="13"/>
  <c r="L47" i="13"/>
  <c r="K45" i="13"/>
  <c r="K60" i="13"/>
  <c r="K52" i="13"/>
  <c r="K46" i="13"/>
  <c r="K58" i="13"/>
  <c r="K50" i="13"/>
  <c r="K44" i="13"/>
  <c r="K51" i="13"/>
  <c r="K47" i="13"/>
  <c r="K53" i="13"/>
  <c r="J52" i="13"/>
  <c r="J46" i="13"/>
  <c r="J60" i="13"/>
  <c r="J44" i="13"/>
  <c r="J51" i="13"/>
  <c r="J50" i="13"/>
  <c r="J58" i="13"/>
  <c r="J45" i="13"/>
  <c r="J53" i="13"/>
  <c r="J47" i="13"/>
  <c r="I60" i="13"/>
  <c r="I46" i="13"/>
  <c r="I44" i="13"/>
  <c r="I45" i="13"/>
  <c r="I52" i="13"/>
  <c r="I50" i="13"/>
  <c r="I51" i="13"/>
  <c r="I58" i="13"/>
  <c r="I53" i="13"/>
  <c r="I47" i="13"/>
  <c r="I19" i="13" l="1"/>
  <c r="B73" i="13"/>
  <c r="B81" i="13" s="1"/>
  <c r="B44" i="14"/>
  <c r="B10" i="14" s="1"/>
  <c r="C22" i="13"/>
  <c r="C50" i="14" s="1"/>
  <c r="D22" i="13"/>
  <c r="D37" i="14" s="1"/>
  <c r="E22" i="13"/>
  <c r="B37" i="14"/>
  <c r="B66" i="14"/>
  <c r="B68" i="14" s="1"/>
  <c r="B41" i="14"/>
  <c r="B53" i="14"/>
  <c r="B55" i="14" s="1"/>
  <c r="B58" i="14"/>
  <c r="B50" i="14"/>
  <c r="B40" i="14"/>
  <c r="B61" i="14"/>
  <c r="B63" i="14" s="1"/>
  <c r="I22" i="13"/>
  <c r="B71" i="14"/>
  <c r="B74" i="14" s="1"/>
  <c r="B77" i="14"/>
  <c r="B82" i="14" s="1"/>
  <c r="B45" i="14"/>
  <c r="B11" i="14" s="1"/>
  <c r="C77" i="14" l="1"/>
  <c r="C82" i="14" s="1"/>
  <c r="C71" i="14"/>
  <c r="C74" i="14" s="1"/>
  <c r="J22" i="13"/>
  <c r="C53" i="14"/>
  <c r="C55" i="14" s="1"/>
  <c r="D45" i="14"/>
  <c r="D11" i="14" s="1"/>
  <c r="C73" i="13"/>
  <c r="C81" i="13" s="1"/>
  <c r="C44" i="14"/>
  <c r="C10" i="14" s="1"/>
  <c r="C12" i="14" s="1"/>
  <c r="D44" i="14"/>
  <c r="D10" i="14" s="1"/>
  <c r="D12" i="14" s="1"/>
  <c r="D66" i="14"/>
  <c r="D68" i="14" s="1"/>
  <c r="C23" i="13"/>
  <c r="D73" i="13"/>
  <c r="D81" i="13" s="1"/>
  <c r="D23" i="13"/>
  <c r="D40" i="14"/>
  <c r="D41" i="14"/>
  <c r="K22" i="13"/>
  <c r="C40" i="14"/>
  <c r="D61" i="14"/>
  <c r="D63" i="14" s="1"/>
  <c r="E23" i="13"/>
  <c r="C45" i="14"/>
  <c r="C11" i="14" s="1"/>
  <c r="D50" i="14"/>
  <c r="C37" i="14"/>
  <c r="C41" i="14"/>
  <c r="D53" i="14"/>
  <c r="D55" i="14" s="1"/>
  <c r="C61" i="14"/>
  <c r="C63" i="14" s="1"/>
  <c r="C66" i="14"/>
  <c r="C68" i="14" s="1"/>
  <c r="D58" i="14"/>
  <c r="C58" i="14"/>
  <c r="B96" i="13"/>
  <c r="B97" i="13" s="1"/>
  <c r="B98" i="13" s="1"/>
  <c r="C97" i="13" s="1"/>
  <c r="B6" i="14"/>
  <c r="D77" i="14"/>
  <c r="D82" i="14" s="1"/>
  <c r="D71" i="14"/>
  <c r="D74" i="14" s="1"/>
  <c r="E66" i="14"/>
  <c r="E68" i="14" s="1"/>
  <c r="E73" i="13"/>
  <c r="E81" i="13" s="1"/>
  <c r="E77" i="14"/>
  <c r="E82" i="14" s="1"/>
  <c r="L22" i="13"/>
  <c r="E58" i="14"/>
  <c r="E50" i="14"/>
  <c r="E53" i="14"/>
  <c r="E55" i="14" s="1"/>
  <c r="E61" i="14"/>
  <c r="E63" i="14" s="1"/>
  <c r="E37" i="14"/>
  <c r="E40" i="14"/>
  <c r="E71" i="14"/>
  <c r="E74" i="14" s="1"/>
  <c r="E41" i="14"/>
  <c r="E45" i="14"/>
  <c r="E11" i="14" s="1"/>
  <c r="E44" i="14"/>
  <c r="E10" i="14" s="1"/>
  <c r="E12" i="14" s="1"/>
  <c r="D96" i="13" l="1"/>
  <c r="D6" i="14"/>
  <c r="E96" i="13"/>
  <c r="E6" i="14"/>
  <c r="C96" i="13"/>
  <c r="C98" i="13" s="1"/>
  <c r="D97" i="13" s="1"/>
  <c r="C6" i="14"/>
  <c r="F93" i="13"/>
  <c r="F29" i="13"/>
  <c r="F78" i="13" s="1"/>
  <c r="F30" i="13"/>
  <c r="F44" i="13" s="1"/>
  <c r="F36" i="13"/>
  <c r="F46" i="13"/>
  <c r="F45" i="13"/>
  <c r="F15" i="13" s="1"/>
  <c r="M15" i="13" s="1"/>
  <c r="F31" i="13"/>
  <c r="F84" i="13"/>
  <c r="F85" i="13"/>
  <c r="M6" i="13"/>
  <c r="M21" i="13"/>
  <c r="N21" i="13"/>
  <c r="F7" i="13"/>
  <c r="F35" i="14" s="1"/>
  <c r="M5" i="13"/>
  <c r="G5" i="13" s="1"/>
  <c r="G9" i="13" s="1"/>
  <c r="D98" i="13" l="1"/>
  <c r="E97" i="13" s="1"/>
  <c r="F97" i="13" s="1"/>
  <c r="G6" i="13"/>
  <c r="G7" i="13" s="1"/>
  <c r="G35" i="14" s="1"/>
  <c r="G85" i="13"/>
  <c r="G30" i="13"/>
  <c r="G79" i="13" s="1"/>
  <c r="G46" i="13"/>
  <c r="G45" i="13"/>
  <c r="G15" i="13" s="1"/>
  <c r="G36" i="13"/>
  <c r="G31" i="13"/>
  <c r="G28" i="13"/>
  <c r="M7" i="13"/>
  <c r="F32" i="13"/>
  <c r="F10" i="13"/>
  <c r="M10" i="13" s="1"/>
  <c r="F47" i="13"/>
  <c r="F17" i="14" s="1"/>
  <c r="F86" i="13"/>
  <c r="M12" i="13"/>
  <c r="G12" i="13"/>
  <c r="F79" i="13"/>
  <c r="F35" i="13"/>
  <c r="F74" i="13"/>
  <c r="F13" i="13" l="1"/>
  <c r="F79" i="14" s="1"/>
  <c r="E98" i="13"/>
  <c r="G35" i="13"/>
  <c r="F15" i="14"/>
  <c r="G44" i="13"/>
  <c r="G47" i="13" s="1"/>
  <c r="G80" i="13" s="1"/>
  <c r="N15" i="13"/>
  <c r="F16" i="14"/>
  <c r="N12" i="13"/>
  <c r="G74" i="13"/>
  <c r="F55" i="13"/>
  <c r="F80" i="13"/>
  <c r="F38" i="13"/>
  <c r="M13" i="13"/>
  <c r="F16" i="13"/>
  <c r="G84" i="13"/>
  <c r="G86" i="13" s="1"/>
  <c r="N7" i="13"/>
  <c r="G10" i="13"/>
  <c r="F36" i="14" l="1"/>
  <c r="F32" i="14"/>
  <c r="G17" i="14"/>
  <c r="N10" i="13"/>
  <c r="G13" i="13"/>
  <c r="G38" i="13"/>
  <c r="G22" i="14" s="1"/>
  <c r="G55" i="13"/>
  <c r="F22" i="14"/>
  <c r="F40" i="13"/>
  <c r="F58" i="13" s="1"/>
  <c r="F18" i="13"/>
  <c r="F7" i="14" s="1"/>
  <c r="M16" i="13"/>
  <c r="F78" i="14"/>
  <c r="G79" i="14" l="1"/>
  <c r="G36" i="14"/>
  <c r="G32" i="14"/>
  <c r="F54" i="14"/>
  <c r="F62" i="14"/>
  <c r="F23" i="14"/>
  <c r="F72" i="14"/>
  <c r="N37" i="13"/>
  <c r="F80" i="14"/>
  <c r="M40" i="13"/>
  <c r="M37" i="13"/>
  <c r="N36" i="13"/>
  <c r="M30" i="13"/>
  <c r="M32" i="13"/>
  <c r="M28" i="13"/>
  <c r="M36" i="13"/>
  <c r="M31" i="13"/>
  <c r="F27" i="14"/>
  <c r="N30" i="13"/>
  <c r="M29" i="13"/>
  <c r="F38" i="14"/>
  <c r="N28" i="13"/>
  <c r="N31" i="13"/>
  <c r="M35" i="13"/>
  <c r="N38" i="13"/>
  <c r="M38" i="13"/>
  <c r="N35" i="13"/>
  <c r="M18" i="13"/>
  <c r="F31" i="14"/>
  <c r="F19" i="13"/>
  <c r="G16" i="13"/>
  <c r="N13" i="13"/>
  <c r="G18" i="13" l="1"/>
  <c r="N18" i="13" s="1"/>
  <c r="G78" i="14"/>
  <c r="F29" i="14"/>
  <c r="F67" i="14"/>
  <c r="F28" i="14"/>
  <c r="F60" i="13"/>
  <c r="M19" i="13"/>
  <c r="F22" i="13"/>
  <c r="F81" i="14"/>
  <c r="F73" i="14"/>
  <c r="F39" i="14"/>
  <c r="N16" i="13"/>
  <c r="F66" i="13" l="1"/>
  <c r="F23" i="13"/>
  <c r="G19" i="13"/>
  <c r="G22" i="13" s="1"/>
  <c r="M60" i="13"/>
  <c r="M50" i="13"/>
  <c r="M51" i="13"/>
  <c r="M53" i="13"/>
  <c r="N52" i="13"/>
  <c r="N51" i="13"/>
  <c r="N53" i="13"/>
  <c r="N50" i="13"/>
  <c r="M52" i="13"/>
  <c r="M44" i="13"/>
  <c r="M46" i="13"/>
  <c r="N45" i="13"/>
  <c r="M45" i="13"/>
  <c r="M47" i="13"/>
  <c r="N46" i="13"/>
  <c r="N44" i="13"/>
  <c r="M55" i="13"/>
  <c r="N47" i="13"/>
  <c r="N55" i="13"/>
  <c r="F58" i="14"/>
  <c r="F37" i="14"/>
  <c r="F73" i="13"/>
  <c r="F81" i="13" s="1"/>
  <c r="F53" i="14"/>
  <c r="F55" i="14" s="1"/>
  <c r="F40" i="14"/>
  <c r="M22" i="13"/>
  <c r="F71" i="14"/>
  <c r="F74" i="14" s="1"/>
  <c r="F66" i="14"/>
  <c r="F68" i="14" s="1"/>
  <c r="F77" i="14"/>
  <c r="F82" i="14" s="1"/>
  <c r="F41" i="14"/>
  <c r="F61" i="14"/>
  <c r="F63" i="14" s="1"/>
  <c r="F50" i="14"/>
  <c r="M58" i="13"/>
  <c r="F67" i="13" l="1"/>
  <c r="F6" i="14" s="1"/>
  <c r="F64" i="13"/>
  <c r="G23" i="13"/>
  <c r="G66" i="13"/>
  <c r="G64" i="13" s="1"/>
  <c r="F96" i="13"/>
  <c r="F98" i="13" s="1"/>
  <c r="G97" i="13" s="1"/>
  <c r="N19" i="13"/>
  <c r="G37" i="14"/>
  <c r="G77" i="14"/>
  <c r="G71" i="14"/>
  <c r="G66" i="14"/>
  <c r="G61" i="14"/>
  <c r="G73" i="13"/>
  <c r="N22" i="13"/>
  <c r="F46" i="14"/>
  <c r="F44" i="14"/>
  <c r="F10" i="14" s="1"/>
  <c r="F12" i="14" s="1"/>
  <c r="F30" i="14"/>
  <c r="F45" i="14"/>
  <c r="F11" i="14" s="1"/>
  <c r="F5" i="14" l="1"/>
  <c r="F4" i="14"/>
  <c r="G65" i="13"/>
  <c r="G67" i="13"/>
  <c r="G44" i="14"/>
  <c r="G10" i="14" s="1"/>
  <c r="G12" i="14" s="1"/>
  <c r="G30" i="14"/>
  <c r="G45" i="14"/>
  <c r="G11" i="14" s="1"/>
  <c r="G4" i="14" l="1"/>
  <c r="G5" i="14"/>
  <c r="G89" i="13"/>
  <c r="G93" i="13" s="1"/>
  <c r="G29" i="13"/>
  <c r="G32" i="13" s="1"/>
  <c r="G16" i="14" l="1"/>
  <c r="N32" i="13"/>
  <c r="G15" i="14"/>
  <c r="G40" i="13"/>
  <c r="G78" i="13"/>
  <c r="N29" i="13"/>
  <c r="G81" i="13" l="1"/>
  <c r="G7" i="14"/>
  <c r="G27" i="14"/>
  <c r="G58" i="14"/>
  <c r="G40" i="14"/>
  <c r="G62" i="14"/>
  <c r="G63" i="14" s="1"/>
  <c r="G58" i="13"/>
  <c r="G81" i="14" s="1"/>
  <c r="G72" i="14"/>
  <c r="G38" i="14"/>
  <c r="N40" i="13"/>
  <c r="G31" i="14"/>
  <c r="G53" i="14"/>
  <c r="G80" i="14"/>
  <c r="G23" i="14"/>
  <c r="G96" i="13" l="1"/>
  <c r="G98" i="13" s="1"/>
  <c r="G6" i="14"/>
  <c r="G46" i="14"/>
  <c r="G39" i="14"/>
  <c r="G60" i="13"/>
  <c r="N60" i="13" s="1"/>
  <c r="G29" i="14"/>
  <c r="G50" i="14"/>
  <c r="G41" i="14"/>
  <c r="N58" i="13"/>
  <c r="G28" i="14"/>
  <c r="G67" i="14"/>
  <c r="G68" i="14" s="1"/>
  <c r="G73" i="14"/>
  <c r="G74" i="14" s="1"/>
  <c r="G82" i="14"/>
  <c r="G54" i="14"/>
  <c r="G55" i="14" s="1"/>
</calcChain>
</file>

<file path=xl/sharedStrings.xml><?xml version="1.0" encoding="utf-8"?>
<sst xmlns="http://schemas.openxmlformats.org/spreadsheetml/2006/main" count="159" uniqueCount="140">
  <si>
    <t xml:space="preserve">Inventories </t>
  </si>
  <si>
    <t>Liabilities</t>
  </si>
  <si>
    <t>Accounts Receivable</t>
  </si>
  <si>
    <t xml:space="preserve">Sales </t>
  </si>
  <si>
    <t xml:space="preserve">Cost of Sales </t>
  </si>
  <si>
    <t xml:space="preserve">Gross Operating Profit </t>
  </si>
  <si>
    <t xml:space="preserve">Selling, General &amp; Admin. Expense </t>
  </si>
  <si>
    <t xml:space="preserve">EBITDA </t>
  </si>
  <si>
    <t xml:space="preserve">Depreciation &amp; Amortization </t>
  </si>
  <si>
    <t xml:space="preserve">EBIT </t>
  </si>
  <si>
    <t xml:space="preserve">Interest Expense </t>
  </si>
  <si>
    <t xml:space="preserve">Income Taxes </t>
  </si>
  <si>
    <t xml:space="preserve">Net Income from Cont. Operations </t>
  </si>
  <si>
    <t xml:space="preserve">Net Income from Other Items </t>
  </si>
  <si>
    <t xml:space="preserve">Total Net Income </t>
  </si>
  <si>
    <t xml:space="preserve">Current Assets </t>
  </si>
  <si>
    <t xml:space="preserve">Cash and Equivalents </t>
  </si>
  <si>
    <t xml:space="preserve">Other Current Assets </t>
  </si>
  <si>
    <t xml:space="preserve">Total Current Assets </t>
  </si>
  <si>
    <t xml:space="preserve">Long Term Assets </t>
  </si>
  <si>
    <t xml:space="preserve">Property, Plant &amp; Equipment, Net </t>
  </si>
  <si>
    <t xml:space="preserve">Intangibles/Goodwill </t>
  </si>
  <si>
    <t xml:space="preserve">Other Non-Current Assets </t>
  </si>
  <si>
    <t xml:space="preserve">Total Non-Current Assets </t>
  </si>
  <si>
    <t xml:space="preserve">Total Assets </t>
  </si>
  <si>
    <t xml:space="preserve">Current Liabilities </t>
  </si>
  <si>
    <t xml:space="preserve">Accounts Payable </t>
  </si>
  <si>
    <t xml:space="preserve">Short Term Debt </t>
  </si>
  <si>
    <t xml:space="preserve">Other Current Liabilities </t>
  </si>
  <si>
    <t xml:space="preserve">Total Current Liabilities </t>
  </si>
  <si>
    <t xml:space="preserve">Long Term Liabilities </t>
  </si>
  <si>
    <t xml:space="preserve">Long Term Debt </t>
  </si>
  <si>
    <t xml:space="preserve">Deferred LT Liabilities </t>
  </si>
  <si>
    <t xml:space="preserve">Other Non-Current Liabilities </t>
  </si>
  <si>
    <t xml:space="preserve">Total Non-Current Liabilities </t>
  </si>
  <si>
    <t xml:space="preserve">Total Liabilities </t>
  </si>
  <si>
    <t xml:space="preserve">Stockholders Equity </t>
  </si>
  <si>
    <t xml:space="preserve">Total Equity </t>
  </si>
  <si>
    <t xml:space="preserve">Total Liabilities &amp; Stock Equity </t>
  </si>
  <si>
    <t xml:space="preserve">Stock Price </t>
  </si>
  <si>
    <t xml:space="preserve">Dividends </t>
  </si>
  <si>
    <t xml:space="preserve">Cash Flows From Operating Activities </t>
  </si>
  <si>
    <t xml:space="preserve">Net Income (Loss) </t>
  </si>
  <si>
    <t xml:space="preserve">Depreciation and Amortization </t>
  </si>
  <si>
    <t xml:space="preserve">Other Adjustments to Net Income </t>
  </si>
  <si>
    <t xml:space="preserve">Changes in Other Operating Activities </t>
  </si>
  <si>
    <t xml:space="preserve">Change in NC Working Capital </t>
  </si>
  <si>
    <t xml:space="preserve">(Increase) Decr. in Receivables </t>
  </si>
  <si>
    <t xml:space="preserve">(Increase) Decr. in Inventories </t>
  </si>
  <si>
    <t xml:space="preserve">(Decrease) Incr. in Liabilities </t>
  </si>
  <si>
    <t xml:space="preserve">Net Cash from Operating Activities </t>
  </si>
  <si>
    <t xml:space="preserve">Cash Flow from Investing Activities </t>
  </si>
  <si>
    <t xml:space="preserve">Capital Expenditures </t>
  </si>
  <si>
    <t xml:space="preserve">Other Investing Cash Flow Items, Total </t>
  </si>
  <si>
    <t xml:space="preserve">Net Cash from Investing Activities </t>
  </si>
  <si>
    <t xml:space="preserve">Cash Flow from Financing Activities </t>
  </si>
  <si>
    <t xml:space="preserve">Total Cash Dividends Paid </t>
  </si>
  <si>
    <t xml:space="preserve">Issuance (Retirement) of Stock, Net </t>
  </si>
  <si>
    <t xml:space="preserve">Issuance (Retirement) of Debt, Net </t>
  </si>
  <si>
    <t xml:space="preserve">Other Financing Cash Flows </t>
  </si>
  <si>
    <t xml:space="preserve">Net Cash from Financing Activities </t>
  </si>
  <si>
    <t xml:space="preserve">Effect of Exchange Rate Changes </t>
  </si>
  <si>
    <t xml:space="preserve">Net Change in Cash &amp; Cash Equivalents </t>
  </si>
  <si>
    <t xml:space="preserve">Cash at Beginning of Period </t>
  </si>
  <si>
    <t xml:space="preserve">Cash at End of Period </t>
  </si>
  <si>
    <t>Pre-tax Income (EBT)</t>
  </si>
  <si>
    <t>INCOME STATEMENT</t>
  </si>
  <si>
    <t>BALANCE SHEET</t>
  </si>
  <si>
    <t>Assets</t>
  </si>
  <si>
    <t>STATEMENT OF CASH FLOWS</t>
  </si>
  <si>
    <t>Total Diluted Shares Outstanding (millions)</t>
  </si>
  <si>
    <t>Total Common Shares Outstanding (millions)</t>
  </si>
  <si>
    <t>Market Cap (millions)</t>
  </si>
  <si>
    <t>LIQUIDITY RATIOS</t>
  </si>
  <si>
    <t>DEBT MANAGEMENT RATIOS</t>
  </si>
  <si>
    <t>PROFITABILITY RATIOS</t>
  </si>
  <si>
    <t>PRICE RATIOS</t>
  </si>
  <si>
    <t>DUPONT ANALYSIS</t>
  </si>
  <si>
    <t>ACTIVITY RATIOS</t>
  </si>
  <si>
    <t>--</t>
  </si>
  <si>
    <t>Dupont System ROE</t>
  </si>
  <si>
    <t>ROA = Net Profit / Total Assets</t>
  </si>
  <si>
    <t>Dupont System ROA</t>
  </si>
  <si>
    <t>DuPont ROE</t>
  </si>
  <si>
    <t>DuPont ROA</t>
  </si>
  <si>
    <t>DuPont Analysis: 5-Way Approach</t>
  </si>
  <si>
    <t>DuPont Analysis: 3-Way Approach</t>
  </si>
  <si>
    <t>DuPont Analysis: 2-Way Approach</t>
  </si>
  <si>
    <t>Equity Turnover (EQTO) = Revenue / Equity</t>
  </si>
  <si>
    <t>Net Profit Margin (NPM) = Net Profit / Revenue</t>
  </si>
  <si>
    <t>Equity Multiplier (EM) = Total Assets / Equity</t>
  </si>
  <si>
    <t>DuPont ROE = ROA * EM</t>
  </si>
  <si>
    <t>Asset Turnover (ATO) = Revenue / Total Assets</t>
  </si>
  <si>
    <t>DuPont ROA = NPM * ATO</t>
  </si>
  <si>
    <t>ROE = Net Profit / Equity</t>
  </si>
  <si>
    <t>Tax Burden (TB) = Net Profit / EBT</t>
  </si>
  <si>
    <t>Interest Burden (IB) = EBT / EBIT</t>
  </si>
  <si>
    <t>Operating Profit Margin (OPM) = EBIT / Revenue</t>
  </si>
  <si>
    <t>DuPont ROE = NPM * EQTO</t>
  </si>
  <si>
    <t>DuPont ROE = NPM * ATO * EM</t>
  </si>
  <si>
    <t>DuPont ROE = EB * IB * OPM * ATO * EM</t>
  </si>
  <si>
    <t>Current Ratio [CA/CL]</t>
  </si>
  <si>
    <t>Return on Assets (ROA) [NI/TA]</t>
  </si>
  <si>
    <t>Quick Ratio [(CA-Inv)/CL]</t>
  </si>
  <si>
    <t>Net Profit Margin (NPM) [NI/Rev]</t>
  </si>
  <si>
    <t>Inventory Turnover [Rev/Inv]</t>
  </si>
  <si>
    <t>Fixed Asset Turnover [Rev/Net FA]</t>
  </si>
  <si>
    <t>Total Asset Turnover [Rev/TA]</t>
  </si>
  <si>
    <t>Cash Ratio [(Cash+Cash Eq)/CL]</t>
  </si>
  <si>
    <t>Debt-to-Equity Ratio [TL/EQ]</t>
  </si>
  <si>
    <t>Return on Equity (ROE) [NI/TEQ]</t>
  </si>
  <si>
    <t>Times Interest Earned (TIE) [EBIT/Int]</t>
  </si>
  <si>
    <t>Operating Profit Margin [EBIT/Rev]</t>
  </si>
  <si>
    <t>Gross Profit Margin [EBITDA/Rev]</t>
  </si>
  <si>
    <t>Basic Earnings Power [EBIT/TA]</t>
  </si>
  <si>
    <t>Debt-to-Capital Ratio (DTIC) [TDebt/(TiC)]</t>
  </si>
  <si>
    <t>Return on Invested Capital (ROIC) [EBIT(1-Tax)/TiC]</t>
  </si>
  <si>
    <t>Market Debt Ratio [TDebt/(TDebt+MCap)]</t>
  </si>
  <si>
    <t>Total Debt to Total Assets  [TDebt/TA]</t>
  </si>
  <si>
    <t>Liabilities to Assets [TL/TA]</t>
  </si>
  <si>
    <t>PE Ratio [Price/EPS]</t>
  </si>
  <si>
    <t>P/CF Ratio [Price/(NI+D&amp;A)]</t>
  </si>
  <si>
    <t>Market/Book Ratio [MCap/TEQ or Price/(BV/Share)]</t>
  </si>
  <si>
    <t>Optimized</t>
  </si>
  <si>
    <t>Forecast</t>
  </si>
  <si>
    <t>Payables Turnover [Credit Purchases/Average AP]</t>
  </si>
  <si>
    <t>=&gt; Lower</t>
  </si>
  <si>
    <t>Days Sales Outstanding (DSO) [Recv's/Rev*365]</t>
  </si>
  <si>
    <t>=&gt; Higher</t>
  </si>
  <si>
    <t>Economic Value (millions)</t>
  </si>
  <si>
    <t>ENTERPRISE VALUATION MULTIPLES</t>
  </si>
  <si>
    <t>EV/Sales</t>
  </si>
  <si>
    <t>EV/EBITDA</t>
  </si>
  <si>
    <t>EV/Operating FCF</t>
  </si>
  <si>
    <t>EV/Enterprise FCF</t>
  </si>
  <si>
    <t>Price/Earnings Ratio</t>
  </si>
  <si>
    <t>Price/Cash Earnings</t>
  </si>
  <si>
    <t>Price/Earnings Growth</t>
  </si>
  <si>
    <t>EQUITY VALUATION MULTIPLES</t>
  </si>
  <si>
    <t>Accenture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</si>
</sst>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_(* #,##0_);_(* \(#,##0\);_(* &quot;-&quot;??_);_(@_)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2"/>
      <color rgb="FF0070C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2"/>
      <color rgb="FF0070C0"/>
      <name val="Arial"/>
      <family val="2"/>
    </font>
    <font>
      <b/>
      <i/>
      <sz val="12"/>
      <color theme="1"/>
      <name val="Arial"/>
      <family val="2"/>
    </font>
    <font>
      <b/>
      <sz val="12"/>
      <color theme="0"/>
      <name val="Arial"/>
      <family val="2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3" fontId="2" fillId="0" borderId="0" applyFont="0" applyFill="0" applyBorder="0" applyAlignment="0" applyProtection="0"/>
  </cellStyleXfs>
  <cellXfs count="89">
    <xf numFmtId="0" fontId="0" fillId="0" borderId="0" xfId="0"/>
    <xf numFmtId="0" fontId="6" fillId="0" borderId="0" xfId="0" applyFont="1"/>
    <xf numFmtId="3" fontId="6" fillId="0" borderId="0" xfId="0" applyNumberFormat="1" applyFont="1"/>
    <xf numFmtId="14" fontId="6" fillId="0" borderId="0" xfId="0" applyNumberFormat="1" applyFo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3" fontId="6" fillId="0" borderId="3" xfId="0" applyNumberFormat="1" applyFont="1" applyBorder="1"/>
    <xf numFmtId="0" fontId="6" fillId="0" borderId="0" xfId="0" applyFont="1" applyAlignment="1">
      <alignment horizontal="left" indent="4"/>
    </xf>
    <xf numFmtId="164" fontId="6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1" xfId="1" applyNumberFormat="1" applyFont="1" applyBorder="1" applyAlignment="1"/>
    <xf numFmtId="164" fontId="6" fillId="0" borderId="3" xfId="1" applyNumberFormat="1" applyFont="1" applyBorder="1" applyAlignment="1"/>
    <xf numFmtId="164" fontId="6" fillId="0" borderId="2" xfId="1" applyNumberFormat="1" applyFont="1" applyBorder="1" applyAlignment="1"/>
    <xf numFmtId="0" fontId="8" fillId="0" borderId="0" xfId="0" applyFont="1"/>
    <xf numFmtId="14" fontId="8" fillId="0" borderId="0" xfId="0" applyNumberFormat="1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left" indent="2"/>
    </xf>
    <xf numFmtId="2" fontId="7" fillId="0" borderId="0" xfId="1" applyNumberFormat="1" applyFont="1" applyFill="1" applyBorder="1" applyAlignment="1"/>
    <xf numFmtId="10" fontId="7" fillId="0" borderId="0" xfId="1" applyNumberFormat="1" applyFont="1" applyFill="1" applyBorder="1" applyAlignment="1"/>
    <xf numFmtId="2" fontId="7" fillId="0" borderId="0" xfId="1" quotePrefix="1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3" fontId="10" fillId="0" borderId="0" xfId="0" applyNumberFormat="1" applyFont="1"/>
    <xf numFmtId="164" fontId="7" fillId="0" borderId="4" xfId="1" applyNumberFormat="1" applyFont="1" applyFill="1" applyBorder="1" applyAlignment="1"/>
    <xf numFmtId="3" fontId="10" fillId="0" borderId="1" xfId="0" applyNumberFormat="1" applyFont="1" applyBorder="1"/>
    <xf numFmtId="164" fontId="7" fillId="0" borderId="1" xfId="1" applyNumberFormat="1" applyFont="1" applyFill="1" applyBorder="1" applyAlignment="1"/>
    <xf numFmtId="164" fontId="6" fillId="0" borderId="0" xfId="1" applyNumberFormat="1" applyFont="1" applyFill="1" applyBorder="1" applyAlignment="1"/>
    <xf numFmtId="164" fontId="6" fillId="0" borderId="0" xfId="0" applyNumberFormat="1" applyFont="1"/>
    <xf numFmtId="164" fontId="7" fillId="0" borderId="0" xfId="1" applyNumberFormat="1" applyFont="1" applyFill="1" applyBorder="1" applyAlignment="1"/>
    <xf numFmtId="3" fontId="6" fillId="0" borderId="2" xfId="0" applyNumberFormat="1" applyFont="1" applyBorder="1"/>
    <xf numFmtId="164" fontId="6" fillId="0" borderId="2" xfId="1" applyNumberFormat="1" applyFont="1" applyFill="1" applyBorder="1" applyAlignment="1"/>
    <xf numFmtId="3" fontId="7" fillId="0" borderId="0" xfId="0" applyNumberFormat="1" applyFont="1"/>
    <xf numFmtId="164" fontId="7" fillId="0" borderId="0" xfId="0" applyNumberFormat="1" applyFont="1"/>
    <xf numFmtId="0" fontId="6" fillId="0" borderId="0" xfId="0" applyFont="1" applyAlignment="1">
      <alignment horizontal="left" indent="1"/>
    </xf>
    <xf numFmtId="0" fontId="10" fillId="0" borderId="1" xfId="0" applyFont="1" applyBorder="1"/>
    <xf numFmtId="164" fontId="6" fillId="0" borderId="3" xfId="1" applyNumberFormat="1" applyFont="1" applyFill="1" applyBorder="1" applyAlignment="1"/>
    <xf numFmtId="0" fontId="11" fillId="0" borderId="0" xfId="0" applyFont="1" applyAlignment="1">
      <alignment horizontal="left" indent="2"/>
    </xf>
    <xf numFmtId="0" fontId="7" fillId="0" borderId="0" xfId="0" applyFont="1" applyAlignment="1">
      <alignment horizontal="left" indent="4"/>
    </xf>
    <xf numFmtId="3" fontId="5" fillId="0" borderId="2" xfId="0" applyNumberFormat="1" applyFont="1" applyBorder="1"/>
    <xf numFmtId="0" fontId="10" fillId="0" borderId="0" xfId="0" applyFont="1"/>
    <xf numFmtId="8" fontId="10" fillId="0" borderId="0" xfId="0" applyNumberFormat="1" applyFont="1"/>
    <xf numFmtId="8" fontId="7" fillId="0" borderId="0" xfId="0" applyNumberFormat="1" applyFont="1"/>
    <xf numFmtId="10" fontId="7" fillId="0" borderId="0" xfId="1" applyNumberFormat="1" applyFont="1"/>
    <xf numFmtId="0" fontId="6" fillId="0" borderId="0" xfId="0" applyFont="1" applyAlignment="1">
      <alignment horizontal="left" indent="6"/>
    </xf>
    <xf numFmtId="0" fontId="6" fillId="2" borderId="0" xfId="0" applyFont="1" applyFill="1" applyAlignment="1">
      <alignment horizontal="left" indent="2"/>
    </xf>
    <xf numFmtId="0" fontId="7" fillId="2" borderId="0" xfId="0" applyFont="1" applyFill="1"/>
    <xf numFmtId="0" fontId="7" fillId="2" borderId="0" xfId="0" applyFont="1" applyFill="1" applyAlignment="1">
      <alignment horizontal="left" indent="6"/>
    </xf>
    <xf numFmtId="10" fontId="7" fillId="2" borderId="2" xfId="0" applyNumberFormat="1" applyFont="1" applyFill="1" applyBorder="1"/>
    <xf numFmtId="0" fontId="7" fillId="2" borderId="0" xfId="0" applyFont="1" applyFill="1" applyAlignment="1">
      <alignment horizontal="left" indent="4"/>
    </xf>
    <xf numFmtId="10" fontId="7" fillId="2" borderId="0" xfId="0" applyNumberFormat="1" applyFont="1" applyFill="1"/>
    <xf numFmtId="0" fontId="11" fillId="2" borderId="0" xfId="0" applyFont="1" applyFill="1" applyAlignment="1">
      <alignment horizontal="left" indent="4"/>
    </xf>
    <xf numFmtId="0" fontId="11" fillId="2" borderId="0" xfId="0" applyFont="1" applyFill="1" applyAlignment="1">
      <alignment horizontal="left" indent="8"/>
    </xf>
    <xf numFmtId="10" fontId="7" fillId="2" borderId="0" xfId="1" applyNumberFormat="1" applyFont="1" applyFill="1" applyBorder="1" applyAlignment="1"/>
    <xf numFmtId="2" fontId="7" fillId="2" borderId="0" xfId="1" applyNumberFormat="1" applyFont="1" applyFill="1" applyBorder="1" applyAlignment="1"/>
    <xf numFmtId="10" fontId="6" fillId="0" borderId="2" xfId="1" applyNumberFormat="1" applyFont="1" applyFill="1" applyBorder="1" applyAlignment="1"/>
    <xf numFmtId="0" fontId="12" fillId="3" borderId="0" xfId="0" applyFont="1" applyFill="1"/>
    <xf numFmtId="0" fontId="7" fillId="2" borderId="0" xfId="0" applyFont="1" applyFill="1" applyAlignment="1">
      <alignment horizontal="left" indent="2"/>
    </xf>
    <xf numFmtId="3" fontId="7" fillId="0" borderId="1" xfId="0" applyNumberFormat="1" applyFont="1" applyBorder="1"/>
    <xf numFmtId="0" fontId="7" fillId="0" borderId="1" xfId="0" applyFont="1" applyBorder="1"/>
    <xf numFmtId="1" fontId="7" fillId="0" borderId="1" xfId="0" applyNumberFormat="1" applyFont="1" applyBorder="1"/>
    <xf numFmtId="2" fontId="5" fillId="4" borderId="0" xfId="1" applyNumberFormat="1" applyFont="1" applyFill="1" applyBorder="1" applyAlignment="1"/>
    <xf numFmtId="164" fontId="5" fillId="5" borderId="4" xfId="1" applyNumberFormat="1" applyFont="1" applyFill="1" applyBorder="1" applyAlignment="1"/>
    <xf numFmtId="164" fontId="5" fillId="5" borderId="1" xfId="1" applyNumberFormat="1" applyFont="1" applyFill="1" applyBorder="1" applyAlignment="1">
      <alignment horizontal="right"/>
    </xf>
    <xf numFmtId="2" fontId="6" fillId="0" borderId="0" xfId="1" applyNumberFormat="1" applyFont="1" applyFill="1" applyBorder="1" applyAlignment="1"/>
    <xf numFmtId="0" fontId="13" fillId="0" borderId="0" xfId="0" quotePrefix="1" applyFont="1" applyAlignment="1">
      <alignment horizontal="center"/>
    </xf>
    <xf numFmtId="1" fontId="6" fillId="5" borderId="0" xfId="0" quotePrefix="1" applyNumberFormat="1" applyFont="1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6" borderId="0" xfId="0" applyFont="1" applyFill="1" applyAlignment="1">
      <alignment horizontal="left" indent="2"/>
    </xf>
    <xf numFmtId="2" fontId="7" fillId="6" borderId="0" xfId="1" applyNumberFormat="1" applyFont="1" applyFill="1" applyBorder="1" applyAlignment="1"/>
    <xf numFmtId="165" fontId="7" fillId="6" borderId="0" xfId="5" applyNumberFormat="1" applyFont="1" applyFill="1" applyBorder="1" applyAlignment="1"/>
    <xf numFmtId="2" fontId="7" fillId="6" borderId="0" xfId="1" quotePrefix="1" applyNumberFormat="1" applyFont="1" applyFill="1" applyBorder="1" applyAlignment="1">
      <alignment horizontal="center"/>
    </xf>
    <xf numFmtId="0" fontId="7" fillId="6" borderId="0" xfId="0" applyFont="1" applyFill="1" applyAlignment="1">
      <alignment horizontal="left"/>
    </xf>
    <xf numFmtId="6" fontId="7" fillId="6" borderId="0" xfId="0" applyNumberFormat="1" applyFont="1" applyFill="1"/>
    <xf numFmtId="3" fontId="7" fillId="7" borderId="0" xfId="0" applyNumberFormat="1" applyFont="1" applyFill="1"/>
    <xf numFmtId="3" fontId="7" fillId="7" borderId="1" xfId="0" applyNumberFormat="1" applyFont="1" applyFill="1" applyBorder="1"/>
    <xf numFmtId="3" fontId="6" fillId="7" borderId="0" xfId="0" applyNumberFormat="1" applyFont="1" applyFill="1"/>
    <xf numFmtId="3" fontId="6" fillId="7" borderId="2" xfId="0" applyNumberFormat="1" applyFont="1" applyFill="1" applyBorder="1"/>
    <xf numFmtId="3" fontId="6" fillId="4" borderId="0" xfId="0" applyNumberFormat="1" applyFont="1" applyFill="1"/>
    <xf numFmtId="1" fontId="6" fillId="4" borderId="0" xfId="0" quotePrefix="1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6" borderId="0" xfId="0" applyFont="1" applyFill="1" applyAlignment="1">
      <alignment horizontal="left" indent="4"/>
    </xf>
    <xf numFmtId="10" fontId="7" fillId="6" borderId="0" xfId="1" applyNumberFormat="1" applyFont="1" applyFill="1" applyBorder="1" applyAlignment="1"/>
    <xf numFmtId="0" fontId="6" fillId="6" borderId="0" xfId="0" applyFont="1" applyFill="1" applyAlignment="1">
      <alignment horizontal="left" indent="6"/>
    </xf>
    <xf numFmtId="10" fontId="6" fillId="6" borderId="2" xfId="1" applyNumberFormat="1" applyFont="1" applyFill="1" applyBorder="1" applyAlignment="1"/>
    <xf numFmtId="10" fontId="7" fillId="6" borderId="0" xfId="1" applyNumberFormat="1" applyFont="1" applyFill="1"/>
    <xf numFmtId="1" fontId="10" fillId="0" borderId="1" xfId="0" applyNumberFormat="1" applyFont="1" applyBorder="1"/>
    <xf numFmtId="1" fontId="10" fillId="0" borderId="1" xfId="0" applyNumberFormat="1" applyFont="1" applyBorder="1" applyAlignment="1">
      <alignment horizontal="left" indent="7"/>
    </xf>
  </cellXfs>
  <cellStyles count="6">
    <cellStyle name="Comma" xfId="5" builtinId="3"/>
    <cellStyle name="Hyperlink 2 2" xfId="3" xr:uid="{350032A8-AB3C-483F-9DD0-AF05CFED33F1}"/>
    <cellStyle name="Normal" xfId="0" builtinId="0"/>
    <cellStyle name="Normal 2" xfId="4" xr:uid="{D7CD3924-CF24-4C0E-B131-131CDD6EDA03}"/>
    <cellStyle name="Normal 2 2 2" xfId="2" xr:uid="{D46D9AF0-B28F-47FC-832D-BAF8A111BFF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D558-FBD9-6841-A485-75F2724A0ECA}">
  <sheetPr>
    <tabColor theme="0" tint="-0.249977111117893"/>
    <pageSetUpPr fitToPage="1"/>
  </sheetPr>
  <dimension ref="A1:N99"/>
  <sheetViews>
    <sheetView tabSelected="1" topLeftCell="A6" zoomScale="88" zoomScaleNormal="70" workbookViewId="0">
      <selection activeCell="E90" sqref="E90"/>
    </sheetView>
  </sheetViews>
  <sheetFormatPr baseColWidth="10" defaultColWidth="10.83203125" defaultRowHeight="16" x14ac:dyDescent="0.2"/>
  <cols>
    <col min="1" max="1" width="53.83203125" style="18" customWidth="1"/>
    <col min="2" max="7" width="12.83203125" style="18" customWidth="1"/>
    <col min="8" max="8" width="10.83203125" style="18"/>
    <col min="9" max="14" width="12.83203125" style="18" customWidth="1"/>
    <col min="15" max="16384" width="10.83203125" style="18"/>
  </cols>
  <sheetData>
    <row r="1" spans="1:14" s="17" customFormat="1" ht="20" x14ac:dyDescent="0.2">
      <c r="A1" s="15" t="s">
        <v>139</v>
      </c>
      <c r="B1" s="16"/>
      <c r="C1" s="16"/>
      <c r="D1" s="16"/>
      <c r="E1" s="16"/>
      <c r="F1" s="16"/>
      <c r="G1" s="16"/>
      <c r="I1" s="16"/>
      <c r="J1" s="16"/>
      <c r="K1" s="16"/>
      <c r="L1" s="16"/>
      <c r="M1" s="16"/>
      <c r="N1" s="16"/>
    </row>
    <row r="2" spans="1:14" x14ac:dyDescent="0.2">
      <c r="A2" s="1"/>
      <c r="B2" s="3"/>
      <c r="C2" s="3"/>
      <c r="D2" s="3"/>
      <c r="E2" s="3"/>
      <c r="F2" s="3"/>
      <c r="G2" s="3"/>
      <c r="I2" s="3"/>
      <c r="J2" s="3"/>
      <c r="K2" s="3"/>
      <c r="L2" s="3"/>
      <c r="M2" s="3"/>
      <c r="N2" s="3"/>
    </row>
    <row r="3" spans="1:14" x14ac:dyDescent="0.2">
      <c r="B3" s="3"/>
      <c r="C3" s="3"/>
      <c r="D3" s="3"/>
      <c r="E3" s="3"/>
      <c r="F3" s="80">
        <f>E4</f>
        <v>2024</v>
      </c>
      <c r="G3" s="67">
        <f>F3+1</f>
        <v>2025</v>
      </c>
      <c r="I3" s="3"/>
      <c r="J3" s="3"/>
      <c r="K3" s="3"/>
      <c r="L3" s="3"/>
      <c r="M3" s="80">
        <f>F3</f>
        <v>2024</v>
      </c>
      <c r="N3" s="67">
        <f>G3</f>
        <v>2025</v>
      </c>
    </row>
    <row r="4" spans="1:14" x14ac:dyDescent="0.2">
      <c r="A4" s="57" t="s">
        <v>66</v>
      </c>
      <c r="B4" s="4">
        <v>2021</v>
      </c>
      <c r="C4" s="4">
        <f>B4+1</f>
        <v>2022</v>
      </c>
      <c r="D4" s="4">
        <f>C4+1</f>
        <v>2023</v>
      </c>
      <c r="E4" s="4">
        <f>D4+1</f>
        <v>2024</v>
      </c>
      <c r="F4" s="81" t="s">
        <v>123</v>
      </c>
      <c r="G4" s="68" t="s">
        <v>124</v>
      </c>
      <c r="I4" s="4">
        <f>B4</f>
        <v>2021</v>
      </c>
      <c r="J4" s="4">
        <f t="shared" ref="J4:L4" si="0">C4</f>
        <v>2022</v>
      </c>
      <c r="K4" s="4">
        <f t="shared" si="0"/>
        <v>2023</v>
      </c>
      <c r="L4" s="4">
        <f t="shared" si="0"/>
        <v>2024</v>
      </c>
      <c r="M4" s="81" t="s">
        <v>123</v>
      </c>
      <c r="N4" s="68" t="s">
        <v>124</v>
      </c>
    </row>
    <row r="5" spans="1:14" x14ac:dyDescent="0.2">
      <c r="A5" s="23" t="s">
        <v>3</v>
      </c>
      <c r="B5" s="24">
        <v>50533.389000000003</v>
      </c>
      <c r="C5" s="24">
        <v>61594.305</v>
      </c>
      <c r="D5" s="24">
        <v>64111.745000000003</v>
      </c>
      <c r="E5" s="24">
        <v>64896.464</v>
      </c>
      <c r="F5" s="33">
        <f>E5</f>
        <v>64896.464</v>
      </c>
      <c r="G5" s="33">
        <f>F5*N5</f>
        <v>68790.251839999997</v>
      </c>
      <c r="I5" s="25">
        <f>B5/$B$5</f>
        <v>1</v>
      </c>
      <c r="J5" s="25">
        <f>C5/$C$5</f>
        <v>1</v>
      </c>
      <c r="K5" s="25">
        <f>D5/$D$5</f>
        <v>1</v>
      </c>
      <c r="L5" s="25">
        <f>E5/$E$5</f>
        <v>1</v>
      </c>
      <c r="M5" s="25">
        <f>F5/$E$5</f>
        <v>1</v>
      </c>
      <c r="N5" s="63">
        <v>1.06</v>
      </c>
    </row>
    <row r="6" spans="1:14" x14ac:dyDescent="0.2">
      <c r="A6" s="23" t="s">
        <v>4</v>
      </c>
      <c r="B6" s="26">
        <v>34169.233</v>
      </c>
      <c r="C6" s="26">
        <v>41892.766000000003</v>
      </c>
      <c r="D6" s="26">
        <v>43380.137999999999</v>
      </c>
      <c r="E6" s="26">
        <v>43734.146999999997</v>
      </c>
      <c r="F6" s="59">
        <f>E6</f>
        <v>43734.146999999997</v>
      </c>
      <c r="G6" s="59">
        <f>G5*N6</f>
        <v>46777.371251199998</v>
      </c>
      <c r="I6" s="27">
        <f>B6/$B$5</f>
        <v>0.67617141213307497</v>
      </c>
      <c r="J6" s="27">
        <f>C6/$C$5</f>
        <v>0.6801402499792798</v>
      </c>
      <c r="K6" s="27">
        <f>D6/$D$5</f>
        <v>0.67663324403352298</v>
      </c>
      <c r="L6" s="27">
        <f>E6/$E$5</f>
        <v>0.67390647046655727</v>
      </c>
      <c r="M6" s="27">
        <f>F6/$E$5</f>
        <v>0.67390647046655727</v>
      </c>
      <c r="N6" s="64">
        <v>0.68</v>
      </c>
    </row>
    <row r="7" spans="1:14" s="1" customFormat="1" x14ac:dyDescent="0.2">
      <c r="A7" s="6" t="s">
        <v>5</v>
      </c>
      <c r="B7" s="2">
        <f t="shared" ref="B7:G7" si="1">B5-B6</f>
        <v>16364.156000000003</v>
      </c>
      <c r="C7" s="2">
        <f t="shared" si="1"/>
        <v>19701.538999999997</v>
      </c>
      <c r="D7" s="2">
        <f t="shared" si="1"/>
        <v>20731.607000000004</v>
      </c>
      <c r="E7" s="2">
        <f t="shared" si="1"/>
        <v>21162.317000000003</v>
      </c>
      <c r="F7" s="2">
        <f t="shared" si="1"/>
        <v>21162.317000000003</v>
      </c>
      <c r="G7" s="2">
        <f t="shared" si="1"/>
        <v>22012.880588799999</v>
      </c>
      <c r="I7" s="28">
        <f t="shared" ref="I7:I22" si="2">B7/$B$5</f>
        <v>0.32382858786692503</v>
      </c>
      <c r="J7" s="28">
        <f t="shared" ref="J7:J22" si="3">C7/$C$5</f>
        <v>0.3198597500207202</v>
      </c>
      <c r="K7" s="28">
        <f t="shared" ref="K7:K22" si="4">D7/$D$5</f>
        <v>0.32336675596647702</v>
      </c>
      <c r="L7" s="28">
        <f t="shared" ref="L7:M22" si="5">E7/$E$5</f>
        <v>0.32609352953344273</v>
      </c>
      <c r="M7" s="28">
        <f>F7/$F$5</f>
        <v>0.32609352953344273</v>
      </c>
      <c r="N7" s="28">
        <f>G7/$F$5</f>
        <v>0.3392</v>
      </c>
    </row>
    <row r="8" spans="1:14" s="1" customFormat="1" x14ac:dyDescent="0.2">
      <c r="A8" s="6"/>
      <c r="B8" s="2"/>
      <c r="C8" s="2"/>
      <c r="D8" s="2"/>
      <c r="E8" s="2"/>
      <c r="F8" s="2"/>
      <c r="G8" s="2"/>
      <c r="H8" s="2"/>
      <c r="I8" s="29"/>
      <c r="J8" s="29"/>
      <c r="K8" s="29"/>
      <c r="L8" s="29"/>
      <c r="M8" s="29"/>
      <c r="N8" s="29"/>
    </row>
    <row r="9" spans="1:14" x14ac:dyDescent="0.2">
      <c r="A9" s="23" t="s">
        <v>6</v>
      </c>
      <c r="B9" s="26">
        <v>8742.5990000000002</v>
      </c>
      <c r="C9" s="26">
        <v>10334.358</v>
      </c>
      <c r="D9" s="26">
        <v>11921.718000000001</v>
      </c>
      <c r="E9" s="26">
        <v>11566.47</v>
      </c>
      <c r="F9" s="59">
        <f>E9</f>
        <v>11566.47</v>
      </c>
      <c r="G9" s="59">
        <f>G5*N9</f>
        <v>11763.13306464</v>
      </c>
      <c r="I9" s="30">
        <f t="shared" si="2"/>
        <v>0.17300638593623713</v>
      </c>
      <c r="J9" s="30">
        <f t="shared" si="3"/>
        <v>0.16778106352527233</v>
      </c>
      <c r="K9" s="30">
        <f t="shared" si="4"/>
        <v>0.18595216835854336</v>
      </c>
      <c r="L9" s="30">
        <f t="shared" si="5"/>
        <v>0.17822958736241776</v>
      </c>
      <c r="M9" s="30">
        <f t="shared" si="5"/>
        <v>0.17822958736241776</v>
      </c>
      <c r="N9" s="64">
        <v>0.17100000000000001</v>
      </c>
    </row>
    <row r="10" spans="1:14" s="1" customFormat="1" x14ac:dyDescent="0.2">
      <c r="A10" s="6" t="s">
        <v>7</v>
      </c>
      <c r="B10" s="31">
        <f t="shared" ref="B10:G10" si="6">B7-B9</f>
        <v>7621.5570000000025</v>
      </c>
      <c r="C10" s="31">
        <f t="shared" si="6"/>
        <v>9367.1809999999969</v>
      </c>
      <c r="D10" s="31">
        <f t="shared" si="6"/>
        <v>8809.8890000000029</v>
      </c>
      <c r="E10" s="31">
        <f t="shared" si="6"/>
        <v>9595.8470000000034</v>
      </c>
      <c r="F10" s="31">
        <f t="shared" si="6"/>
        <v>9595.8470000000034</v>
      </c>
      <c r="G10" s="31">
        <f t="shared" si="6"/>
        <v>10249.747524159999</v>
      </c>
      <c r="I10" s="32">
        <f t="shared" si="2"/>
        <v>0.15082220193068788</v>
      </c>
      <c r="J10" s="32">
        <f t="shared" si="3"/>
        <v>0.15207868649544787</v>
      </c>
      <c r="K10" s="32">
        <f t="shared" si="4"/>
        <v>0.13741458760793365</v>
      </c>
      <c r="L10" s="32">
        <f t="shared" si="5"/>
        <v>0.14786394217102497</v>
      </c>
      <c r="M10" s="32">
        <f>F10/$F$5</f>
        <v>0.14786394217102497</v>
      </c>
      <c r="N10" s="32">
        <f>G10/$F$5</f>
        <v>0.15793999999999997</v>
      </c>
    </row>
    <row r="11" spans="1:14" x14ac:dyDescent="0.2">
      <c r="A11" s="23"/>
      <c r="B11" s="33"/>
      <c r="C11" s="33"/>
      <c r="D11" s="33"/>
      <c r="E11" s="33"/>
      <c r="F11" s="33"/>
      <c r="G11" s="33"/>
      <c r="H11" s="33"/>
      <c r="I11" s="34"/>
      <c r="J11" s="34"/>
      <c r="K11" s="34"/>
      <c r="L11" s="34"/>
      <c r="M11" s="34"/>
      <c r="N11" s="34"/>
    </row>
    <row r="12" spans="1:14" x14ac:dyDescent="0.2">
      <c r="A12" s="23" t="s">
        <v>8</v>
      </c>
      <c r="B12" s="26">
        <v>1121.973</v>
      </c>
      <c r="C12" s="26">
        <v>1310.7380000000001</v>
      </c>
      <c r="D12" s="26">
        <v>1400.7550000000001</v>
      </c>
      <c r="E12" s="26">
        <v>1430.0419999999999</v>
      </c>
      <c r="F12" s="59">
        <f>E12/E5*F5</f>
        <v>1430.0419999999999</v>
      </c>
      <c r="G12" s="59">
        <f>F12/F5*G5</f>
        <v>1515.8445199999999</v>
      </c>
      <c r="H12" s="33"/>
      <c r="I12" s="30">
        <f t="shared" si="2"/>
        <v>2.2202607468103909E-2</v>
      </c>
      <c r="J12" s="30">
        <f t="shared" si="3"/>
        <v>2.1280181666145922E-2</v>
      </c>
      <c r="K12" s="30">
        <f t="shared" si="4"/>
        <v>2.1848648792822594E-2</v>
      </c>
      <c r="L12" s="30">
        <f t="shared" si="5"/>
        <v>2.2035746046194443E-2</v>
      </c>
      <c r="M12" s="30">
        <f>F12/$F$5</f>
        <v>2.2035746046194443E-2</v>
      </c>
      <c r="N12" s="30">
        <f>G12/$F$5</f>
        <v>2.3357890808966109E-2</v>
      </c>
    </row>
    <row r="13" spans="1:14" s="1" customFormat="1" x14ac:dyDescent="0.2">
      <c r="A13" s="6" t="s">
        <v>9</v>
      </c>
      <c r="B13" s="31">
        <f t="shared" ref="B13:G13" si="7">B10-B12</f>
        <v>6499.5840000000026</v>
      </c>
      <c r="C13" s="31">
        <f t="shared" si="7"/>
        <v>8056.4429999999966</v>
      </c>
      <c r="D13" s="31">
        <f t="shared" si="7"/>
        <v>7409.1340000000027</v>
      </c>
      <c r="E13" s="31">
        <f t="shared" si="7"/>
        <v>8165.8050000000039</v>
      </c>
      <c r="F13" s="31">
        <f t="shared" si="7"/>
        <v>8165.8050000000039</v>
      </c>
      <c r="G13" s="31">
        <f t="shared" si="7"/>
        <v>8733.9030041599981</v>
      </c>
      <c r="I13" s="32">
        <f t="shared" si="2"/>
        <v>0.12861959446258397</v>
      </c>
      <c r="J13" s="32">
        <f t="shared" si="3"/>
        <v>0.13079850482930194</v>
      </c>
      <c r="K13" s="32">
        <f t="shared" si="4"/>
        <v>0.11556593881511106</v>
      </c>
      <c r="L13" s="32">
        <f t="shared" si="5"/>
        <v>0.12582819612483054</v>
      </c>
      <c r="M13" s="32">
        <f>F13/$F$5</f>
        <v>0.12582819612483054</v>
      </c>
      <c r="N13" s="32">
        <f>G13/$F$5</f>
        <v>0.13458210919103386</v>
      </c>
    </row>
    <row r="14" spans="1:14" x14ac:dyDescent="0.2">
      <c r="A14" s="23"/>
      <c r="B14" s="33"/>
      <c r="C14" s="33"/>
      <c r="D14" s="33"/>
      <c r="E14" s="33"/>
      <c r="F14" s="33"/>
      <c r="G14" s="33"/>
      <c r="H14" s="33"/>
      <c r="I14" s="34"/>
      <c r="J14" s="34"/>
      <c r="K14" s="34"/>
      <c r="L14" s="34"/>
      <c r="M14" s="34"/>
      <c r="N14" s="34"/>
    </row>
    <row r="15" spans="1:14" x14ac:dyDescent="0.2">
      <c r="A15" s="23" t="s">
        <v>10</v>
      </c>
      <c r="B15" s="26">
        <v>58.969000000000001</v>
      </c>
      <c r="C15" s="26">
        <v>47.524999999999999</v>
      </c>
      <c r="D15" s="26">
        <v>47.32</v>
      </c>
      <c r="E15" s="26">
        <v>59.491999999999997</v>
      </c>
      <c r="F15" s="59">
        <f>E15/(E45+E50)*(F45+F50)</f>
        <v>59.491999999999997</v>
      </c>
      <c r="G15" s="59">
        <f>F15/(F45+F50)*(G45+G50)</f>
        <v>62.787663043800265</v>
      </c>
      <c r="H15" s="33"/>
      <c r="I15" s="30">
        <f t="shared" si="2"/>
        <v>1.16693143220614E-3</v>
      </c>
      <c r="J15" s="30">
        <f t="shared" si="3"/>
        <v>7.7158107393207858E-4</v>
      </c>
      <c r="K15" s="30">
        <f t="shared" si="4"/>
        <v>7.3808628980540146E-4</v>
      </c>
      <c r="L15" s="30">
        <f t="shared" si="5"/>
        <v>9.1672174927743362E-4</v>
      </c>
      <c r="M15" s="30">
        <f>F15/$F$5</f>
        <v>9.1672174927743362E-4</v>
      </c>
      <c r="N15" s="30">
        <f>G15/$F$5</f>
        <v>9.675051485671124E-4</v>
      </c>
    </row>
    <row r="16" spans="1:14" s="35" customFormat="1" x14ac:dyDescent="0.2">
      <c r="A16" s="6" t="s">
        <v>65</v>
      </c>
      <c r="B16" s="31">
        <f t="shared" ref="B16:G16" si="8">B13-B15</f>
        <v>6440.6150000000025</v>
      </c>
      <c r="C16" s="31">
        <f t="shared" si="8"/>
        <v>8008.9179999999969</v>
      </c>
      <c r="D16" s="31">
        <f t="shared" si="8"/>
        <v>7361.814000000003</v>
      </c>
      <c r="E16" s="31">
        <f t="shared" si="8"/>
        <v>8106.3130000000037</v>
      </c>
      <c r="F16" s="31">
        <f t="shared" si="8"/>
        <v>8106.3130000000037</v>
      </c>
      <c r="G16" s="31">
        <f t="shared" si="8"/>
        <v>8671.1153411161977</v>
      </c>
      <c r="I16" s="32">
        <f t="shared" si="2"/>
        <v>0.12745266303037783</v>
      </c>
      <c r="J16" s="32">
        <f t="shared" si="3"/>
        <v>0.13002692375536987</v>
      </c>
      <c r="K16" s="32">
        <f t="shared" si="4"/>
        <v>0.11482785252530567</v>
      </c>
      <c r="L16" s="32">
        <f t="shared" si="5"/>
        <v>0.1249114743755531</v>
      </c>
      <c r="M16" s="32">
        <f>F16/$F$5</f>
        <v>0.1249114743755531</v>
      </c>
      <c r="N16" s="32">
        <f>G16/$F$5</f>
        <v>0.13361460404246675</v>
      </c>
    </row>
    <row r="17" spans="1:14" x14ac:dyDescent="0.2">
      <c r="A17" s="23"/>
      <c r="B17" s="33"/>
      <c r="C17" s="33"/>
      <c r="D17" s="33"/>
      <c r="E17" s="33"/>
      <c r="F17" s="33"/>
      <c r="G17" s="33"/>
      <c r="H17" s="33"/>
      <c r="I17" s="34"/>
      <c r="J17" s="34"/>
      <c r="K17" s="34"/>
      <c r="L17" s="34"/>
      <c r="M17" s="34"/>
      <c r="N17" s="34"/>
    </row>
    <row r="18" spans="1:14" x14ac:dyDescent="0.2">
      <c r="A18" s="23" t="s">
        <v>11</v>
      </c>
      <c r="B18" s="26">
        <v>1770.5709999999999</v>
      </c>
      <c r="C18" s="26">
        <v>2207.2069999999999</v>
      </c>
      <c r="D18" s="26">
        <v>2135.8200000000002</v>
      </c>
      <c r="E18" s="26">
        <v>2280.1260000000002</v>
      </c>
      <c r="F18" s="59">
        <f>E18/E16*F16</f>
        <v>2280.1260000000002</v>
      </c>
      <c r="G18" s="59">
        <f>F18/F16*G16</f>
        <v>2438.992367834539</v>
      </c>
      <c r="H18" s="33"/>
      <c r="I18" s="30">
        <f t="shared" si="2"/>
        <v>3.5037646099690636E-2</v>
      </c>
      <c r="J18" s="30">
        <f t="shared" si="3"/>
        <v>3.5834595422417702E-2</v>
      </c>
      <c r="K18" s="30">
        <f t="shared" si="4"/>
        <v>3.3314020699327401E-2</v>
      </c>
      <c r="L18" s="30">
        <f t="shared" si="5"/>
        <v>3.5134826452177734E-2</v>
      </c>
      <c r="M18" s="30">
        <f>F18/$F$5</f>
        <v>3.5134826452177734E-2</v>
      </c>
      <c r="N18" s="30">
        <f>G18/$F$5</f>
        <v>3.7582823739588322E-2</v>
      </c>
    </row>
    <row r="19" spans="1:14" s="1" customFormat="1" x14ac:dyDescent="0.2">
      <c r="A19" s="6" t="s">
        <v>12</v>
      </c>
      <c r="B19" s="31">
        <f t="shared" ref="B19:G19" si="9">B16-B18</f>
        <v>4670.0440000000026</v>
      </c>
      <c r="C19" s="31">
        <f t="shared" si="9"/>
        <v>5801.7109999999975</v>
      </c>
      <c r="D19" s="31">
        <f t="shared" si="9"/>
        <v>5225.9940000000024</v>
      </c>
      <c r="E19" s="31">
        <f t="shared" si="9"/>
        <v>5826.1870000000035</v>
      </c>
      <c r="F19" s="31">
        <f t="shared" si="9"/>
        <v>5826.1870000000035</v>
      </c>
      <c r="G19" s="31">
        <f t="shared" si="9"/>
        <v>6232.1229732816591</v>
      </c>
      <c r="I19" s="32">
        <f t="shared" si="2"/>
        <v>9.2415016930687197E-2</v>
      </c>
      <c r="J19" s="32">
        <f t="shared" si="3"/>
        <v>9.4192328332952172E-2</v>
      </c>
      <c r="K19" s="32">
        <f t="shared" si="4"/>
        <v>8.1513831825978253E-2</v>
      </c>
      <c r="L19" s="32">
        <f t="shared" si="5"/>
        <v>8.9776647923375349E-2</v>
      </c>
      <c r="M19" s="32">
        <f>F19/$F$5</f>
        <v>8.9776647923375349E-2</v>
      </c>
      <c r="N19" s="32">
        <f>G19/$F$5</f>
        <v>9.6031780302878428E-2</v>
      </c>
    </row>
    <row r="20" spans="1:14" x14ac:dyDescent="0.2">
      <c r="A20" s="23"/>
      <c r="B20" s="33"/>
      <c r="C20" s="33"/>
      <c r="D20" s="33"/>
      <c r="E20" s="33"/>
      <c r="F20" s="33"/>
      <c r="G20" s="33"/>
      <c r="H20" s="33"/>
      <c r="I20" s="34"/>
      <c r="J20" s="34"/>
      <c r="K20" s="34"/>
      <c r="L20" s="34"/>
      <c r="M20" s="34"/>
      <c r="N20" s="34"/>
    </row>
    <row r="21" spans="1:14" x14ac:dyDescent="0.2">
      <c r="A21" s="23" t="s">
        <v>13</v>
      </c>
      <c r="B21" s="88">
        <v>5906.8090000000002</v>
      </c>
      <c r="C21" s="87">
        <v>6877.1689999999999</v>
      </c>
      <c r="D21" s="36">
        <v>6871.5569999999998</v>
      </c>
      <c r="E21" s="87">
        <v>7264.7870000000003</v>
      </c>
      <c r="F21" s="60">
        <v>0</v>
      </c>
      <c r="G21" s="60">
        <v>0</v>
      </c>
      <c r="I21" s="30">
        <f t="shared" si="2"/>
        <v>0.11688923139510789</v>
      </c>
      <c r="J21" s="30">
        <f t="shared" si="3"/>
        <v>0.11165267633103418</v>
      </c>
      <c r="K21" s="30">
        <f t="shared" si="4"/>
        <v>0.10718093853162161</v>
      </c>
      <c r="L21" s="30">
        <f t="shared" si="5"/>
        <v>0.11194426556121764</v>
      </c>
      <c r="M21" s="30">
        <f>F21/$F$5</f>
        <v>0</v>
      </c>
      <c r="N21" s="30">
        <f>G21/$F$5</f>
        <v>0</v>
      </c>
    </row>
    <row r="22" spans="1:14" s="1" customFormat="1" ht="17" thickBot="1" x14ac:dyDescent="0.25">
      <c r="A22" s="6" t="s">
        <v>14</v>
      </c>
      <c r="B22" s="8">
        <f t="shared" ref="B22:G22" si="10">B19+B21</f>
        <v>10576.853000000003</v>
      </c>
      <c r="C22" s="8">
        <f t="shared" si="10"/>
        <v>12678.879999999997</v>
      </c>
      <c r="D22" s="8">
        <f t="shared" si="10"/>
        <v>12097.551000000003</v>
      </c>
      <c r="E22" s="8">
        <f t="shared" si="10"/>
        <v>13090.974000000004</v>
      </c>
      <c r="F22" s="8">
        <f t="shared" si="10"/>
        <v>5826.1870000000035</v>
      </c>
      <c r="G22" s="8">
        <f t="shared" si="10"/>
        <v>6232.1229732816591</v>
      </c>
      <c r="I22" s="37">
        <f t="shared" si="2"/>
        <v>0.20930424832579508</v>
      </c>
      <c r="J22" s="37">
        <f t="shared" si="3"/>
        <v>0.20584500466398634</v>
      </c>
      <c r="K22" s="37">
        <f t="shared" si="4"/>
        <v>0.18869477035759988</v>
      </c>
      <c r="L22" s="37">
        <f t="shared" si="5"/>
        <v>0.20172091348459301</v>
      </c>
      <c r="M22" s="37">
        <f>F22/$F$5</f>
        <v>8.9776647923375349E-2</v>
      </c>
      <c r="N22" s="37">
        <f>G22/$F$5</f>
        <v>9.6031780302878428E-2</v>
      </c>
    </row>
    <row r="23" spans="1:14" x14ac:dyDescent="0.2">
      <c r="A23" s="1"/>
      <c r="B23" s="2"/>
      <c r="C23" s="44">
        <f>(C22-B22)/B22</f>
        <v>0.19873841491415206</v>
      </c>
      <c r="D23" s="44">
        <f t="shared" ref="D23:G23" si="11">(D22-C22)/C22</f>
        <v>-4.5850185505343879E-2</v>
      </c>
      <c r="E23" s="44">
        <f t="shared" si="11"/>
        <v>8.2117694730115251E-2</v>
      </c>
      <c r="F23" s="44">
        <f t="shared" si="11"/>
        <v>-0.55494625533592823</v>
      </c>
      <c r="G23" s="44">
        <f t="shared" si="11"/>
        <v>6.967438108005379E-2</v>
      </c>
      <c r="I23" s="2"/>
      <c r="J23" s="2"/>
      <c r="K23" s="2"/>
      <c r="L23" s="2"/>
      <c r="M23" s="2"/>
      <c r="N23" s="2"/>
    </row>
    <row r="25" spans="1:14" x14ac:dyDescent="0.2">
      <c r="A25" s="57" t="s">
        <v>67</v>
      </c>
      <c r="B25" s="4">
        <f>B4</f>
        <v>2021</v>
      </c>
      <c r="C25" s="4">
        <f t="shared" ref="C25:E25" si="12">C4</f>
        <v>2022</v>
      </c>
      <c r="D25" s="4">
        <f t="shared" si="12"/>
        <v>2023</v>
      </c>
      <c r="E25" s="4">
        <f t="shared" si="12"/>
        <v>2024</v>
      </c>
      <c r="F25" s="81" t="s">
        <v>123</v>
      </c>
      <c r="G25" s="68" t="s">
        <v>124</v>
      </c>
      <c r="I25" s="4">
        <f>B25</f>
        <v>2021</v>
      </c>
      <c r="J25" s="4">
        <f t="shared" ref="J25:L25" si="13">C25</f>
        <v>2022</v>
      </c>
      <c r="K25" s="4">
        <f t="shared" si="13"/>
        <v>2023</v>
      </c>
      <c r="L25" s="4">
        <f t="shared" si="13"/>
        <v>2024</v>
      </c>
      <c r="M25" s="81" t="s">
        <v>123</v>
      </c>
      <c r="N25" s="68" t="s">
        <v>124</v>
      </c>
    </row>
    <row r="26" spans="1:14" x14ac:dyDescent="0.2">
      <c r="A26" s="1" t="s">
        <v>68</v>
      </c>
      <c r="B26" s="7"/>
      <c r="C26" s="7"/>
      <c r="D26" s="7"/>
      <c r="E26" s="7"/>
      <c r="F26" s="7"/>
      <c r="G26" s="7"/>
      <c r="I26" s="7"/>
      <c r="J26" s="7"/>
      <c r="K26" s="7"/>
      <c r="L26" s="7"/>
      <c r="M26" s="7"/>
      <c r="N26" s="7"/>
    </row>
    <row r="27" spans="1:14" x14ac:dyDescent="0.2">
      <c r="A27" s="38" t="s">
        <v>15</v>
      </c>
    </row>
    <row r="28" spans="1:14" x14ac:dyDescent="0.2">
      <c r="A28" s="39" t="s">
        <v>16</v>
      </c>
      <c r="B28" s="24">
        <v>8168.174</v>
      </c>
      <c r="C28" s="24">
        <v>7893.8059999999996</v>
      </c>
      <c r="D28" s="24">
        <v>9049.607</v>
      </c>
      <c r="E28" s="24">
        <v>5009.8649999999998</v>
      </c>
      <c r="F28" s="33">
        <f>E28/$E$5*F5</f>
        <v>5009.8649999999998</v>
      </c>
      <c r="G28" s="33">
        <f>F28/$F$5*G5</f>
        <v>5310.4568999999992</v>
      </c>
      <c r="I28" s="11">
        <f t="shared" ref="I28:I38" si="14">B28/$B$40</f>
        <v>0.2232135935057159</v>
      </c>
      <c r="J28" s="11">
        <f t="shared" ref="J28:J38" si="15">C28/$C$40</f>
        <v>0.19257080462640894</v>
      </c>
      <c r="K28" s="11">
        <f t="shared" ref="K28:K38" si="16">D28/$D$40</f>
        <v>0.20901455887732737</v>
      </c>
      <c r="L28" s="11">
        <f>E28/$E$40</f>
        <v>0.10500570661658788</v>
      </c>
      <c r="M28" s="30">
        <f t="shared" ref="M28:N32" si="17">F28/$F$40</f>
        <v>9.6557694196068647E-2</v>
      </c>
      <c r="N28" s="30">
        <f t="shared" si="17"/>
        <v>0.10235115584783276</v>
      </c>
    </row>
    <row r="29" spans="1:14" x14ac:dyDescent="0.2">
      <c r="A29" s="39" t="s">
        <v>2</v>
      </c>
      <c r="B29" s="24">
        <v>9728.2119999999995</v>
      </c>
      <c r="C29" s="24">
        <v>11776.775</v>
      </c>
      <c r="D29" s="24">
        <v>12227.186</v>
      </c>
      <c r="E29" s="24">
        <v>13664.847</v>
      </c>
      <c r="F29" s="79">
        <f>F5*Ratios!F20/365</f>
        <v>13512.68839452055</v>
      </c>
      <c r="G29" s="2">
        <f>G5*Ratios!G20/365</f>
        <v>14323.449698191778</v>
      </c>
      <c r="I29" s="11">
        <f t="shared" si="14"/>
        <v>0.265845115310402</v>
      </c>
      <c r="J29" s="11">
        <f t="shared" si="15"/>
        <v>0.28729652561187558</v>
      </c>
      <c r="K29" s="11">
        <f t="shared" si="16"/>
        <v>0.28240562138234654</v>
      </c>
      <c r="L29" s="11">
        <f t="shared" ref="L29:L38" si="18">E29/$E$40</f>
        <v>0.28641229155726972</v>
      </c>
      <c r="M29" s="30">
        <f t="shared" si="17"/>
        <v>0.26043696462177746</v>
      </c>
      <c r="N29" s="30">
        <f t="shared" si="17"/>
        <v>0.27606318249908401</v>
      </c>
    </row>
    <row r="30" spans="1:14" x14ac:dyDescent="0.2">
      <c r="A30" s="39" t="s">
        <v>0</v>
      </c>
      <c r="B30" s="24">
        <v>0</v>
      </c>
      <c r="C30" s="24">
        <v>0</v>
      </c>
      <c r="D30" s="24">
        <v>0</v>
      </c>
      <c r="E30" s="24">
        <v>0</v>
      </c>
      <c r="F30" s="79">
        <f>F5/Ratios!F21</f>
        <v>4326.4309333333331</v>
      </c>
      <c r="G30" s="2">
        <f>G5/Ratios!G21</f>
        <v>4586.0167893333328</v>
      </c>
      <c r="I30" s="11">
        <f t="shared" si="14"/>
        <v>0</v>
      </c>
      <c r="J30" s="11">
        <f t="shared" si="15"/>
        <v>0</v>
      </c>
      <c r="K30" s="11">
        <f t="shared" si="16"/>
        <v>0</v>
      </c>
      <c r="L30" s="11">
        <f t="shared" si="18"/>
        <v>0</v>
      </c>
      <c r="M30" s="30">
        <f t="shared" si="17"/>
        <v>8.3385519374516451E-2</v>
      </c>
      <c r="N30" s="30">
        <f t="shared" si="17"/>
        <v>8.8388650536987426E-2</v>
      </c>
    </row>
    <row r="31" spans="1:14" x14ac:dyDescent="0.2">
      <c r="A31" s="39" t="s">
        <v>17</v>
      </c>
      <c r="B31" s="26">
        <v>1765.8309999999999</v>
      </c>
      <c r="C31" s="26">
        <v>1940.29</v>
      </c>
      <c r="D31" s="26">
        <v>2105.1379999999999</v>
      </c>
      <c r="E31" s="26">
        <v>2183.069</v>
      </c>
      <c r="F31" s="59">
        <f>E31/$E$5*F5</f>
        <v>2183.069</v>
      </c>
      <c r="G31" s="59">
        <f>F31/$F$5*G5</f>
        <v>2314.0531399999995</v>
      </c>
      <c r="I31" s="12">
        <f t="shared" si="14"/>
        <v>4.8255275050922253E-2</v>
      </c>
      <c r="J31" s="12">
        <f t="shared" si="15"/>
        <v>4.7333720452285628E-2</v>
      </c>
      <c r="K31" s="12">
        <f t="shared" si="16"/>
        <v>4.862139211635369E-2</v>
      </c>
      <c r="L31" s="12">
        <f t="shared" si="18"/>
        <v>4.575666269206214E-2</v>
      </c>
      <c r="M31" s="27">
        <f t="shared" si="17"/>
        <v>4.2075407004164261E-2</v>
      </c>
      <c r="N31" s="27">
        <f t="shared" si="17"/>
        <v>4.459993142441411E-2</v>
      </c>
    </row>
    <row r="32" spans="1:14" s="1" customFormat="1" x14ac:dyDescent="0.2">
      <c r="A32" s="5" t="s">
        <v>18</v>
      </c>
      <c r="B32" s="2">
        <f t="shared" ref="B32:G32" si="19">SUM(B28:B31)</f>
        <v>19662.216999999997</v>
      </c>
      <c r="C32" s="2">
        <f t="shared" si="19"/>
        <v>21610.870999999999</v>
      </c>
      <c r="D32" s="2">
        <f t="shared" si="19"/>
        <v>23381.930999999997</v>
      </c>
      <c r="E32" s="2">
        <f t="shared" si="19"/>
        <v>20857.780999999999</v>
      </c>
      <c r="F32" s="2">
        <f t="shared" si="19"/>
        <v>25032.053327853882</v>
      </c>
      <c r="G32" s="2">
        <f t="shared" si="19"/>
        <v>26533.976527525108</v>
      </c>
      <c r="H32" s="18"/>
      <c r="I32" s="10">
        <f t="shared" si="14"/>
        <v>0.5373139838670401</v>
      </c>
      <c r="J32" s="10">
        <f t="shared" si="15"/>
        <v>0.52720105069057011</v>
      </c>
      <c r="K32" s="10">
        <f t="shared" si="16"/>
        <v>0.54004157237602757</v>
      </c>
      <c r="L32" s="10">
        <f t="shared" si="18"/>
        <v>0.43717466086591972</v>
      </c>
      <c r="M32" s="10">
        <f t="shared" si="17"/>
        <v>0.48245558519652681</v>
      </c>
      <c r="N32" s="10">
        <f t="shared" si="17"/>
        <v>0.51140292030831824</v>
      </c>
    </row>
    <row r="33" spans="1:14" x14ac:dyDescent="0.2">
      <c r="A33" s="19"/>
      <c r="B33" s="33"/>
      <c r="C33" s="33"/>
      <c r="D33" s="33"/>
      <c r="E33" s="33"/>
      <c r="F33" s="33"/>
      <c r="G33" s="33"/>
    </row>
    <row r="34" spans="1:14" x14ac:dyDescent="0.2">
      <c r="A34" s="38" t="s">
        <v>19</v>
      </c>
    </row>
    <row r="35" spans="1:14" x14ac:dyDescent="0.2">
      <c r="A35" s="39" t="s">
        <v>20</v>
      </c>
      <c r="B35" s="24">
        <v>1639.105</v>
      </c>
      <c r="C35" s="24">
        <v>1649.14</v>
      </c>
      <c r="D35" s="24">
        <v>1530.0070000000001</v>
      </c>
      <c r="E35" s="24">
        <v>1521.1189999999999</v>
      </c>
      <c r="F35" s="33">
        <f>E35/$E$5*F5-(F12-E12)</f>
        <v>1521.1189999999999</v>
      </c>
      <c r="G35" s="33">
        <f>F35/$F$5*G5-(G12-F12)</f>
        <v>1526.5836199999999</v>
      </c>
      <c r="I35" s="11">
        <f t="shared" si="14"/>
        <v>4.4792204130713484E-2</v>
      </c>
      <c r="J35" s="11">
        <f t="shared" si="15"/>
        <v>4.0231064297956656E-2</v>
      </c>
      <c r="K35" s="11">
        <f t="shared" si="16"/>
        <v>3.533785922241961E-2</v>
      </c>
      <c r="L35" s="11">
        <f t="shared" si="18"/>
        <v>3.1882331249029172E-2</v>
      </c>
      <c r="M35" s="11">
        <f t="shared" ref="M35:N38" si="20">F35/$F$40</f>
        <v>2.9317305603610025E-2</v>
      </c>
      <c r="N35" s="11">
        <f t="shared" si="20"/>
        <v>2.9422628023846441E-2</v>
      </c>
    </row>
    <row r="36" spans="1:14" x14ac:dyDescent="0.2">
      <c r="A36" s="39" t="s">
        <v>21</v>
      </c>
      <c r="B36" s="24">
        <v>12836.799000000001</v>
      </c>
      <c r="C36" s="24">
        <v>15064.101000000001</v>
      </c>
      <c r="D36" s="24">
        <v>17645.96</v>
      </c>
      <c r="E36" s="24">
        <v>24024.21</v>
      </c>
      <c r="F36" s="33">
        <f>E36/$E$5*F5</f>
        <v>24024.21</v>
      </c>
      <c r="G36" s="33">
        <f>F36/$F$5*G5</f>
        <v>25465.662599999996</v>
      </c>
      <c r="I36" s="11">
        <f t="shared" si="14"/>
        <v>0.35079419634064857</v>
      </c>
      <c r="J36" s="11">
        <f t="shared" si="15"/>
        <v>0.36749142942498103</v>
      </c>
      <c r="K36" s="11">
        <f t="shared" si="16"/>
        <v>0.40756052117699293</v>
      </c>
      <c r="L36" s="11">
        <f t="shared" si="18"/>
        <v>0.50354234035354184</v>
      </c>
      <c r="M36" s="11">
        <f t="shared" si="20"/>
        <v>0.46303090452180534</v>
      </c>
      <c r="N36" s="11">
        <f t="shared" si="20"/>
        <v>0.49081275879311359</v>
      </c>
    </row>
    <row r="37" spans="1:14" x14ac:dyDescent="0.2">
      <c r="A37" s="39" t="s">
        <v>22</v>
      </c>
      <c r="B37" s="26">
        <v>2455.4119999999998</v>
      </c>
      <c r="C37" s="26">
        <v>2667.5949999999998</v>
      </c>
      <c r="D37" s="26">
        <v>738.64099999999996</v>
      </c>
      <c r="E37" s="26">
        <v>1307.297</v>
      </c>
      <c r="F37" s="59">
        <f>E37</f>
        <v>1307.297</v>
      </c>
      <c r="G37" s="59">
        <f>F37</f>
        <v>1307.297</v>
      </c>
      <c r="I37" s="12">
        <f t="shared" si="14"/>
        <v>6.7099615661597917E-2</v>
      </c>
      <c r="J37" s="12">
        <f t="shared" si="15"/>
        <v>6.5076455586492152E-2</v>
      </c>
      <c r="K37" s="12">
        <f t="shared" si="16"/>
        <v>1.7060047224559914E-2</v>
      </c>
      <c r="L37" s="12">
        <f t="shared" si="18"/>
        <v>2.740066753150943E-2</v>
      </c>
      <c r="M37" s="12">
        <f t="shared" si="20"/>
        <v>2.5196204678057783E-2</v>
      </c>
      <c r="N37" s="12">
        <f t="shared" si="20"/>
        <v>2.5196204678057783E-2</v>
      </c>
    </row>
    <row r="38" spans="1:14" s="1" customFormat="1" x14ac:dyDescent="0.2">
      <c r="A38" s="5" t="s">
        <v>23</v>
      </c>
      <c r="B38" s="2">
        <f t="shared" ref="B38:G38" si="21">SUM(B35:B37)</f>
        <v>16931.315999999999</v>
      </c>
      <c r="C38" s="2">
        <f t="shared" si="21"/>
        <v>19380.836000000003</v>
      </c>
      <c r="D38" s="2">
        <f t="shared" si="21"/>
        <v>19914.608</v>
      </c>
      <c r="E38" s="2">
        <f t="shared" si="21"/>
        <v>26852.625999999997</v>
      </c>
      <c r="F38" s="2">
        <f t="shared" si="21"/>
        <v>26852.625999999997</v>
      </c>
      <c r="G38" s="2">
        <f t="shared" si="21"/>
        <v>28299.543219999996</v>
      </c>
      <c r="H38" s="18"/>
      <c r="I38" s="10">
        <f t="shared" si="14"/>
        <v>0.4626860161329599</v>
      </c>
      <c r="J38" s="10">
        <f t="shared" si="15"/>
        <v>0.47279894930942989</v>
      </c>
      <c r="K38" s="10">
        <f t="shared" si="16"/>
        <v>0.45995842762397249</v>
      </c>
      <c r="L38" s="10">
        <f t="shared" si="18"/>
        <v>0.56282533913408039</v>
      </c>
      <c r="M38" s="10">
        <f t="shared" si="20"/>
        <v>0.51754441480347313</v>
      </c>
      <c r="N38" s="10">
        <f t="shared" si="20"/>
        <v>0.54543159149501785</v>
      </c>
    </row>
    <row r="39" spans="1:14" s="1" customFormat="1" x14ac:dyDescent="0.2">
      <c r="A39" s="5"/>
      <c r="B39" s="2"/>
      <c r="C39" s="2"/>
      <c r="D39" s="2"/>
      <c r="E39" s="2"/>
      <c r="F39" s="2"/>
      <c r="G39" s="2"/>
    </row>
    <row r="40" spans="1:14" s="1" customFormat="1" ht="17" thickBot="1" x14ac:dyDescent="0.25">
      <c r="A40" s="9" t="s">
        <v>24</v>
      </c>
      <c r="B40" s="8">
        <f t="shared" ref="B40:G40" si="22">B32+B38</f>
        <v>36593.532999999996</v>
      </c>
      <c r="C40" s="8">
        <f t="shared" si="22"/>
        <v>40991.707000000002</v>
      </c>
      <c r="D40" s="8">
        <f t="shared" si="22"/>
        <v>43296.538999999997</v>
      </c>
      <c r="E40" s="8">
        <f t="shared" si="22"/>
        <v>47710.406999999992</v>
      </c>
      <c r="F40" s="8">
        <f t="shared" si="22"/>
        <v>51884.679327853883</v>
      </c>
      <c r="G40" s="8">
        <f t="shared" si="22"/>
        <v>54833.519747525104</v>
      </c>
      <c r="I40" s="13">
        <f>B40/$B$40</f>
        <v>1</v>
      </c>
      <c r="J40" s="13">
        <f>C40/$C$40</f>
        <v>1</v>
      </c>
      <c r="K40" s="13">
        <f>D40/$D$40</f>
        <v>1</v>
      </c>
      <c r="L40" s="13">
        <f>E40/$E$40</f>
        <v>1</v>
      </c>
      <c r="M40" s="13">
        <f>F40/$F$40</f>
        <v>1</v>
      </c>
      <c r="N40" s="13">
        <f>G40/$F$40</f>
        <v>1.0568345118033362</v>
      </c>
    </row>
    <row r="41" spans="1:14" x14ac:dyDescent="0.2">
      <c r="A41" s="5"/>
      <c r="B41" s="2"/>
      <c r="C41" s="2"/>
      <c r="D41" s="2"/>
      <c r="E41" s="2"/>
      <c r="F41" s="2"/>
      <c r="G41" s="2"/>
      <c r="I41" s="2"/>
      <c r="J41" s="2"/>
      <c r="K41" s="2"/>
      <c r="L41" s="2"/>
      <c r="M41" s="2"/>
      <c r="N41" s="2"/>
    </row>
    <row r="42" spans="1:14" x14ac:dyDescent="0.2">
      <c r="A42" s="6" t="s">
        <v>1</v>
      </c>
      <c r="B42" s="2"/>
      <c r="C42" s="2"/>
      <c r="D42" s="2"/>
      <c r="E42" s="2"/>
      <c r="F42" s="2"/>
      <c r="G42" s="2"/>
      <c r="I42" s="2"/>
      <c r="J42" s="2"/>
      <c r="K42" s="2"/>
      <c r="L42" s="2"/>
      <c r="M42" s="2"/>
      <c r="N42" s="2"/>
    </row>
    <row r="43" spans="1:14" x14ac:dyDescent="0.2">
      <c r="A43" s="38" t="s">
        <v>25</v>
      </c>
    </row>
    <row r="44" spans="1:14" x14ac:dyDescent="0.2">
      <c r="A44" s="39" t="s">
        <v>26</v>
      </c>
      <c r="B44" s="24">
        <v>10723.446</v>
      </c>
      <c r="C44" s="24">
        <v>12328.674999999999</v>
      </c>
      <c r="D44" s="24">
        <v>12306.659</v>
      </c>
      <c r="E44" s="24">
        <v>12128.772999999999</v>
      </c>
      <c r="F44" s="79">
        <f>(F6+F30-D30)/Ratios!F24</f>
        <v>25295.041017543863</v>
      </c>
      <c r="G44" s="77">
        <f>(G6+G30-F30)/Ratios!G24</f>
        <v>24756.293214315789</v>
      </c>
      <c r="I44" s="11">
        <f t="shared" ref="I44:I58" si="23">B44/$B$60</f>
        <v>0.32533025275012917</v>
      </c>
      <c r="J44" s="11">
        <f t="shared" ref="J44:J58" si="24">C44/$C$60</f>
        <v>0.32944487809536777</v>
      </c>
      <c r="K44" s="11">
        <f t="shared" ref="K44:K58" si="25">D44/$D$60</f>
        <v>0.29477045901872895</v>
      </c>
      <c r="L44" s="11">
        <f>E44/$E$60</f>
        <v>0.26771396162496075</v>
      </c>
      <c r="M44" s="11">
        <f t="shared" ref="M44:N47" si="26">F44/$F$60</f>
        <v>0.4875242816421228</v>
      </c>
      <c r="N44" s="11">
        <f t="shared" si="26"/>
        <v>0.4771407192840752</v>
      </c>
    </row>
    <row r="45" spans="1:14" x14ac:dyDescent="0.2">
      <c r="A45" s="39" t="s">
        <v>27</v>
      </c>
      <c r="B45" s="24">
        <v>12.08</v>
      </c>
      <c r="C45" s="24">
        <v>9.1750000000000007</v>
      </c>
      <c r="D45" s="24">
        <v>104.81</v>
      </c>
      <c r="E45" s="24">
        <v>946.22900000000004</v>
      </c>
      <c r="F45" s="33">
        <f>E45/$E$5*F5</f>
        <v>946.22900000000004</v>
      </c>
      <c r="G45" s="33">
        <f>F45/$F$5*G5</f>
        <v>1003.00274</v>
      </c>
      <c r="I45" s="11">
        <f t="shared" si="23"/>
        <v>3.6648568503273675E-4</v>
      </c>
      <c r="J45" s="11">
        <f t="shared" si="24"/>
        <v>2.4517288001549227E-4</v>
      </c>
      <c r="K45" s="11">
        <f t="shared" si="25"/>
        <v>2.5104207250524276E-3</v>
      </c>
      <c r="L45" s="11">
        <f t="shared" ref="L45:L58" si="27">E45/$E$60</f>
        <v>2.0885765954596153E-2</v>
      </c>
      <c r="M45" s="11">
        <f t="shared" si="26"/>
        <v>1.8237156175156786E-2</v>
      </c>
      <c r="N45" s="11">
        <f t="shared" si="26"/>
        <v>1.9331385545666192E-2</v>
      </c>
    </row>
    <row r="46" spans="1:14" x14ac:dyDescent="0.2">
      <c r="A46" s="39" t="s">
        <v>28</v>
      </c>
      <c r="B46" s="26">
        <v>1278.136</v>
      </c>
      <c r="C46" s="26">
        <v>1510.925</v>
      </c>
      <c r="D46" s="26">
        <v>1588.6780000000001</v>
      </c>
      <c r="E46" s="26">
        <v>1615.049</v>
      </c>
      <c r="F46" s="59">
        <f>E46/$E$5*F5</f>
        <v>1615.049</v>
      </c>
      <c r="G46" s="59">
        <f>F46/$F$5*G5</f>
        <v>1711.9519399999999</v>
      </c>
      <c r="I46" s="12">
        <f t="shared" si="23"/>
        <v>3.8776369828228643E-2</v>
      </c>
      <c r="J46" s="12">
        <f t="shared" si="24"/>
        <v>4.0374695775194293E-2</v>
      </c>
      <c r="K46" s="12">
        <f t="shared" si="25"/>
        <v>3.8052191361843721E-2</v>
      </c>
      <c r="L46" s="12">
        <f t="shared" si="27"/>
        <v>3.564838471364179E-2</v>
      </c>
      <c r="M46" s="12">
        <f t="shared" si="26"/>
        <v>3.1127666604522573E-2</v>
      </c>
      <c r="N46" s="12">
        <f t="shared" si="26"/>
        <v>3.2995326600793927E-2</v>
      </c>
    </row>
    <row r="47" spans="1:14" s="1" customFormat="1" x14ac:dyDescent="0.2">
      <c r="A47" s="5" t="s">
        <v>29</v>
      </c>
      <c r="B47" s="2">
        <f t="shared" ref="B47:G47" si="28">SUM(B44:B46)</f>
        <v>12013.662</v>
      </c>
      <c r="C47" s="2">
        <f t="shared" si="28"/>
        <v>13848.774999999998</v>
      </c>
      <c r="D47" s="2">
        <f t="shared" si="28"/>
        <v>14000.146999999999</v>
      </c>
      <c r="E47" s="2">
        <f t="shared" si="28"/>
        <v>14690.050999999999</v>
      </c>
      <c r="F47" s="2">
        <f t="shared" si="28"/>
        <v>27856.319017543861</v>
      </c>
      <c r="G47" s="77">
        <f t="shared" si="28"/>
        <v>27471.247894315788</v>
      </c>
      <c r="H47" s="18"/>
      <c r="I47" s="10">
        <f t="shared" si="23"/>
        <v>0.36447310826339058</v>
      </c>
      <c r="J47" s="10">
        <f t="shared" si="24"/>
        <v>0.37006474675057749</v>
      </c>
      <c r="K47" s="10">
        <f t="shared" si="25"/>
        <v>0.3353330711056251</v>
      </c>
      <c r="L47" s="10">
        <f t="shared" si="27"/>
        <v>0.32424811229319872</v>
      </c>
      <c r="M47" s="10">
        <f t="shared" si="26"/>
        <v>0.53688910442180215</v>
      </c>
      <c r="N47" s="10">
        <f t="shared" si="26"/>
        <v>0.52946743143053532</v>
      </c>
    </row>
    <row r="48" spans="1:14" x14ac:dyDescent="0.2">
      <c r="A48" s="19"/>
      <c r="B48" s="33"/>
      <c r="C48" s="33"/>
      <c r="D48" s="33"/>
      <c r="E48" s="33"/>
      <c r="F48" s="33"/>
      <c r="G48" s="33"/>
    </row>
    <row r="49" spans="1:14" x14ac:dyDescent="0.2">
      <c r="A49" s="38" t="s">
        <v>30</v>
      </c>
    </row>
    <row r="50" spans="1:14" x14ac:dyDescent="0.2">
      <c r="A50" s="39" t="s">
        <v>31</v>
      </c>
      <c r="B50" s="24">
        <v>53.472999999999999</v>
      </c>
      <c r="C50" s="24">
        <v>45.893000000000001</v>
      </c>
      <c r="D50" s="24">
        <v>430.93</v>
      </c>
      <c r="E50" s="24">
        <v>78.628</v>
      </c>
      <c r="F50" s="33">
        <f t="shared" ref="F50:G52" si="29">E50</f>
        <v>78.628</v>
      </c>
      <c r="G50" s="33">
        <f t="shared" si="29"/>
        <v>78.628</v>
      </c>
      <c r="I50" s="11">
        <f t="shared" si="23"/>
        <v>1.6222755824300936E-3</v>
      </c>
      <c r="J50" s="11">
        <f t="shared" si="24"/>
        <v>1.226345393193568E-3</v>
      </c>
      <c r="K50" s="11">
        <f t="shared" si="25"/>
        <v>1.0321683074581076E-2</v>
      </c>
      <c r="L50" s="11">
        <f t="shared" si="27"/>
        <v>1.7355270293744813E-3</v>
      </c>
      <c r="M50" s="11">
        <f t="shared" ref="M50:N53" si="30">F50/$F$60</f>
        <v>1.5154377172335953E-3</v>
      </c>
      <c r="N50" s="11">
        <f t="shared" si="30"/>
        <v>1.5154377172335953E-3</v>
      </c>
    </row>
    <row r="51" spans="1:14" x14ac:dyDescent="0.2">
      <c r="A51" s="39" t="s">
        <v>32</v>
      </c>
      <c r="B51" s="24">
        <v>243.636</v>
      </c>
      <c r="C51" s="24">
        <v>318.584</v>
      </c>
      <c r="D51" s="24">
        <v>395.28</v>
      </c>
      <c r="E51" s="24">
        <v>428.84500000000003</v>
      </c>
      <c r="F51" s="33">
        <f t="shared" si="29"/>
        <v>428.84500000000003</v>
      </c>
      <c r="G51" s="33">
        <f t="shared" si="29"/>
        <v>428.84500000000003</v>
      </c>
      <c r="I51" s="11">
        <f t="shared" si="23"/>
        <v>7.3914823144566096E-3</v>
      </c>
      <c r="J51" s="11">
        <f t="shared" si="24"/>
        <v>8.5131506056518348E-3</v>
      </c>
      <c r="K51" s="11">
        <f t="shared" si="25"/>
        <v>9.4677903272466692E-3</v>
      </c>
      <c r="L51" s="11">
        <f t="shared" si="27"/>
        <v>9.465738527141724E-3</v>
      </c>
      <c r="M51" s="11">
        <f t="shared" si="30"/>
        <v>8.2653493392562602E-3</v>
      </c>
      <c r="N51" s="11">
        <f t="shared" si="30"/>
        <v>8.2653493392562602E-3</v>
      </c>
    </row>
    <row r="52" spans="1:14" x14ac:dyDescent="0.2">
      <c r="A52" s="39" t="s">
        <v>33</v>
      </c>
      <c r="B52" s="26">
        <v>553.83900000000006</v>
      </c>
      <c r="C52" s="26">
        <v>462.233</v>
      </c>
      <c r="D52" s="26">
        <v>465.024</v>
      </c>
      <c r="E52" s="26">
        <v>939.19799999999998</v>
      </c>
      <c r="F52" s="60">
        <f t="shared" si="29"/>
        <v>939.19799999999998</v>
      </c>
      <c r="G52" s="60">
        <f t="shared" si="29"/>
        <v>939.19799999999998</v>
      </c>
      <c r="I52" s="12">
        <f t="shared" si="23"/>
        <v>1.680248885040115E-2</v>
      </c>
      <c r="J52" s="12">
        <f t="shared" si="24"/>
        <v>1.2351716168741258E-2</v>
      </c>
      <c r="K52" s="12">
        <f t="shared" si="25"/>
        <v>1.1138306337627898E-2</v>
      </c>
      <c r="L52" s="12">
        <f t="shared" si="27"/>
        <v>2.0730573268230836E-2</v>
      </c>
      <c r="M52" s="12">
        <f t="shared" si="30"/>
        <v>1.8101644110881089E-2</v>
      </c>
      <c r="N52" s="12">
        <f t="shared" si="30"/>
        <v>1.8101644110881089E-2</v>
      </c>
    </row>
    <row r="53" spans="1:14" s="1" customFormat="1" x14ac:dyDescent="0.2">
      <c r="A53" s="5" t="s">
        <v>34</v>
      </c>
      <c r="B53" s="2">
        <f t="shared" ref="B53:G53" si="31">SUM(B50:B52)</f>
        <v>850.94800000000009</v>
      </c>
      <c r="C53" s="2">
        <f t="shared" si="31"/>
        <v>826.71</v>
      </c>
      <c r="D53" s="2">
        <f t="shared" si="31"/>
        <v>1291.2339999999999</v>
      </c>
      <c r="E53" s="2">
        <f t="shared" si="31"/>
        <v>1446.671</v>
      </c>
      <c r="F53" s="2">
        <f t="shared" si="31"/>
        <v>1446.671</v>
      </c>
      <c r="G53" s="2">
        <f t="shared" si="31"/>
        <v>1446.671</v>
      </c>
      <c r="I53" s="10">
        <f t="shared" si="23"/>
        <v>2.5816246747287854E-2</v>
      </c>
      <c r="J53" s="10">
        <f t="shared" si="24"/>
        <v>2.2091212167586662E-2</v>
      </c>
      <c r="K53" s="10">
        <f t="shared" si="25"/>
        <v>3.0927779739455642E-2</v>
      </c>
      <c r="L53" s="10">
        <f t="shared" si="27"/>
        <v>3.1931838824747046E-2</v>
      </c>
      <c r="M53" s="10">
        <f t="shared" si="30"/>
        <v>2.7882431167370946E-2</v>
      </c>
      <c r="N53" s="10">
        <f t="shared" si="30"/>
        <v>2.7882431167370946E-2</v>
      </c>
    </row>
    <row r="54" spans="1:14" x14ac:dyDescent="0.2">
      <c r="A54" s="19"/>
      <c r="B54" s="33"/>
      <c r="C54" s="33"/>
      <c r="D54" s="33"/>
      <c r="E54" s="33"/>
      <c r="F54" s="33"/>
      <c r="G54" s="33"/>
    </row>
    <row r="55" spans="1:14" s="1" customFormat="1" x14ac:dyDescent="0.2">
      <c r="A55" s="9" t="s">
        <v>35</v>
      </c>
      <c r="B55" s="31">
        <f t="shared" ref="B55:G55" si="32">B47+B53</f>
        <v>12864.61</v>
      </c>
      <c r="C55" s="31">
        <f t="shared" si="32"/>
        <v>14675.484999999997</v>
      </c>
      <c r="D55" s="31">
        <f t="shared" si="32"/>
        <v>15291.380999999999</v>
      </c>
      <c r="E55" s="31">
        <f t="shared" si="32"/>
        <v>16136.722</v>
      </c>
      <c r="F55" s="31">
        <f t="shared" si="32"/>
        <v>29302.99001754386</v>
      </c>
      <c r="G55" s="31">
        <f t="shared" si="32"/>
        <v>28917.918894315786</v>
      </c>
      <c r="I55" s="14">
        <f t="shared" si="23"/>
        <v>0.39028935501067846</v>
      </c>
      <c r="J55" s="14">
        <f t="shared" si="24"/>
        <v>0.39215595891816413</v>
      </c>
      <c r="K55" s="14">
        <f t="shared" si="25"/>
        <v>0.36626085084508075</v>
      </c>
      <c r="L55" s="14">
        <f t="shared" si="27"/>
        <v>0.35617995111794576</v>
      </c>
      <c r="M55" s="14">
        <f>F55/$F$60</f>
        <v>0.56477153558917303</v>
      </c>
      <c r="N55" s="14">
        <f>G55/$F$60</f>
        <v>0.5573498625979062</v>
      </c>
    </row>
    <row r="56" spans="1:14" x14ac:dyDescent="0.2">
      <c r="A56" s="19"/>
      <c r="B56" s="33"/>
      <c r="C56" s="33"/>
      <c r="D56" s="33"/>
      <c r="E56" s="33"/>
      <c r="F56" s="33"/>
      <c r="G56" s="33"/>
    </row>
    <row r="57" spans="1:14" x14ac:dyDescent="0.2">
      <c r="A57" s="6" t="s">
        <v>36</v>
      </c>
    </row>
    <row r="58" spans="1:14" s="1" customFormat="1" x14ac:dyDescent="0.2">
      <c r="A58" s="5" t="s">
        <v>37</v>
      </c>
      <c r="B58" s="40">
        <v>20097.114000000001</v>
      </c>
      <c r="C58" s="40">
        <v>22747.088</v>
      </c>
      <c r="D58" s="40">
        <v>26458.593000000001</v>
      </c>
      <c r="E58" s="40">
        <v>29168.248</v>
      </c>
      <c r="F58" s="31">
        <f>F40-F55</f>
        <v>22581.689310310023</v>
      </c>
      <c r="G58" s="78">
        <f>G40-G55</f>
        <v>25915.600853209318</v>
      </c>
      <c r="I58" s="14">
        <f t="shared" si="23"/>
        <v>0.60971064498932159</v>
      </c>
      <c r="J58" s="14">
        <f t="shared" si="24"/>
        <v>0.60784404108183587</v>
      </c>
      <c r="K58" s="14">
        <f t="shared" si="25"/>
        <v>0.63373914915491925</v>
      </c>
      <c r="L58" s="14">
        <f t="shared" si="27"/>
        <v>0.64382004888205424</v>
      </c>
      <c r="M58" s="14">
        <f>F58/$F$60</f>
        <v>0.43522846441082697</v>
      </c>
      <c r="N58" s="14">
        <f>G58/$F$60</f>
        <v>0.49948464920542995</v>
      </c>
    </row>
    <row r="59" spans="1:14" x14ac:dyDescent="0.2">
      <c r="A59" s="19"/>
      <c r="B59" s="33"/>
      <c r="C59" s="33"/>
      <c r="D59" s="33"/>
      <c r="E59" s="33"/>
      <c r="F59" s="33"/>
      <c r="G59" s="33"/>
    </row>
    <row r="60" spans="1:14" s="1" customFormat="1" ht="17" thickBot="1" x14ac:dyDescent="0.25">
      <c r="A60" s="6" t="s">
        <v>38</v>
      </c>
      <c r="B60" s="8">
        <f t="shared" ref="B60:G60" si="33">B55+B58</f>
        <v>32961.724000000002</v>
      </c>
      <c r="C60" s="8">
        <f t="shared" si="33"/>
        <v>37422.572999999997</v>
      </c>
      <c r="D60" s="8">
        <f t="shared" si="33"/>
        <v>41749.974000000002</v>
      </c>
      <c r="E60" s="8">
        <f t="shared" si="33"/>
        <v>45304.97</v>
      </c>
      <c r="F60" s="8">
        <f t="shared" si="33"/>
        <v>51884.679327853883</v>
      </c>
      <c r="G60" s="8">
        <f t="shared" si="33"/>
        <v>54833.519747525104</v>
      </c>
      <c r="I60" s="13">
        <f>B60/$B$60</f>
        <v>1</v>
      </c>
      <c r="J60" s="13">
        <f>C60/$C$60</f>
        <v>1</v>
      </c>
      <c r="K60" s="13">
        <f>D60/$D$60</f>
        <v>1</v>
      </c>
      <c r="L60" s="13">
        <f>E60/$E$60</f>
        <v>1</v>
      </c>
      <c r="M60" s="13">
        <f>F60/$F$60</f>
        <v>1</v>
      </c>
      <c r="N60" s="13">
        <f>G60/$F$60</f>
        <v>1.0568345118033362</v>
      </c>
    </row>
    <row r="61" spans="1:14" x14ac:dyDescent="0.2">
      <c r="A61" s="5"/>
      <c r="B61" s="2"/>
      <c r="C61" s="2"/>
      <c r="D61" s="2"/>
      <c r="E61" s="2"/>
      <c r="F61" s="2"/>
      <c r="G61" s="2"/>
      <c r="I61" s="2"/>
      <c r="J61" s="2"/>
      <c r="K61" s="2"/>
      <c r="L61" s="2"/>
      <c r="M61" s="2"/>
      <c r="N61" s="2"/>
    </row>
    <row r="62" spans="1:14" x14ac:dyDescent="0.2">
      <c r="A62" s="23" t="s">
        <v>71</v>
      </c>
      <c r="B62" s="24">
        <v>634.745</v>
      </c>
      <c r="C62" s="24">
        <v>632.76</v>
      </c>
      <c r="D62" s="24">
        <v>630.60799999999995</v>
      </c>
      <c r="E62" s="24">
        <v>627.85</v>
      </c>
      <c r="F62" s="33">
        <f>E62</f>
        <v>627.85</v>
      </c>
      <c r="G62" s="33">
        <f>F62</f>
        <v>627.85</v>
      </c>
      <c r="I62" s="2"/>
      <c r="J62" s="2"/>
      <c r="K62" s="2"/>
      <c r="L62" s="2"/>
      <c r="M62" s="2"/>
      <c r="N62" s="2"/>
    </row>
    <row r="63" spans="1:14" x14ac:dyDescent="0.2">
      <c r="A63" s="23" t="s">
        <v>70</v>
      </c>
      <c r="B63" s="41">
        <v>645.90899999999999</v>
      </c>
      <c r="C63" s="41">
        <v>642.83900000000006</v>
      </c>
      <c r="D63" s="41">
        <v>638.59100000000001</v>
      </c>
      <c r="E63" s="41">
        <v>635.94000000000005</v>
      </c>
      <c r="F63" s="18">
        <f>E63</f>
        <v>635.94000000000005</v>
      </c>
      <c r="G63" s="18">
        <f>F63</f>
        <v>635.94000000000005</v>
      </c>
      <c r="J63" s="2"/>
      <c r="K63" s="2"/>
      <c r="L63" s="2"/>
      <c r="M63" s="2"/>
      <c r="N63" s="2"/>
    </row>
    <row r="64" spans="1:14" x14ac:dyDescent="0.2">
      <c r="A64" s="23" t="s">
        <v>39</v>
      </c>
      <c r="B64" s="42">
        <v>412.11</v>
      </c>
      <c r="C64" s="42">
        <v>254.87</v>
      </c>
      <c r="D64" s="42">
        <v>340.5</v>
      </c>
      <c r="E64" s="42">
        <v>351.79</v>
      </c>
      <c r="F64" s="43">
        <f>F66/F62</f>
        <v>156.56545683537382</v>
      </c>
      <c r="G64" s="43">
        <f>G66/G62</f>
        <v>167.47405813889435</v>
      </c>
      <c r="J64" s="2"/>
      <c r="K64" s="2"/>
      <c r="L64" s="2"/>
      <c r="M64" s="2"/>
      <c r="N64" s="2"/>
    </row>
    <row r="65" spans="1:14" x14ac:dyDescent="0.2">
      <c r="A65" s="23" t="s">
        <v>40</v>
      </c>
      <c r="B65" s="42">
        <v>3.52</v>
      </c>
      <c r="C65" s="42">
        <v>3.88</v>
      </c>
      <c r="D65" s="42">
        <v>4.4800000000000004</v>
      </c>
      <c r="E65" s="42">
        <v>4.96</v>
      </c>
      <c r="F65" s="43">
        <f>E65</f>
        <v>4.96</v>
      </c>
      <c r="G65" s="43">
        <f>F65/F64*G64</f>
        <v>5.3055849301570666</v>
      </c>
      <c r="I65" s="2"/>
      <c r="J65" s="2"/>
      <c r="K65" s="2"/>
      <c r="L65" s="2"/>
      <c r="M65" s="2"/>
      <c r="N65" s="2"/>
    </row>
    <row r="66" spans="1:14" x14ac:dyDescent="0.2">
      <c r="A66" s="73" t="s">
        <v>72</v>
      </c>
      <c r="B66" s="74">
        <f>B62*B64</f>
        <v>261584.76195000001</v>
      </c>
      <c r="C66" s="74">
        <f t="shared" ref="C66:D66" si="34">C62*C64</f>
        <v>161271.54120000001</v>
      </c>
      <c r="D66" s="74">
        <f t="shared" si="34"/>
        <v>214722.02399999998</v>
      </c>
      <c r="E66" s="74">
        <f>E62*E64</f>
        <v>220871.35150000002</v>
      </c>
      <c r="F66" s="74">
        <f>E66/E22*F22</f>
        <v>98299.62207408945</v>
      </c>
      <c r="G66" s="74">
        <f>F66/F22*G22</f>
        <v>105148.58740250483</v>
      </c>
      <c r="I66" s="2"/>
      <c r="J66" s="2"/>
      <c r="K66" s="2"/>
      <c r="L66" s="2"/>
      <c r="M66" s="2"/>
      <c r="N66" s="2"/>
    </row>
    <row r="67" spans="1:14" x14ac:dyDescent="0.2">
      <c r="A67" s="73" t="s">
        <v>129</v>
      </c>
      <c r="B67" s="74">
        <f>B66+B53</f>
        <v>262435.70994999999</v>
      </c>
      <c r="C67" s="74">
        <f t="shared" ref="C67:G67" si="35">C66+C53</f>
        <v>162098.2512</v>
      </c>
      <c r="D67" s="74">
        <f t="shared" si="35"/>
        <v>216013.25799999997</v>
      </c>
      <c r="E67" s="74">
        <f>E66+E53</f>
        <v>222318.02250000002</v>
      </c>
      <c r="F67" s="74">
        <f>F66+F53</f>
        <v>99746.293074089452</v>
      </c>
      <c r="G67" s="74">
        <f t="shared" si="35"/>
        <v>106595.25840250483</v>
      </c>
      <c r="I67" s="2"/>
      <c r="J67" s="2"/>
      <c r="K67" s="2"/>
      <c r="L67" s="2"/>
      <c r="M67" s="2"/>
      <c r="N67" s="2"/>
    </row>
    <row r="68" spans="1:14" x14ac:dyDescent="0.2">
      <c r="B68" s="43"/>
      <c r="I68" s="2"/>
      <c r="J68" s="2"/>
      <c r="K68" s="2"/>
      <c r="L68" s="2"/>
      <c r="M68" s="2"/>
      <c r="N68" s="2"/>
    </row>
    <row r="69" spans="1:14" x14ac:dyDescent="0.2">
      <c r="B69" s="43"/>
      <c r="I69" s="2"/>
      <c r="J69" s="2"/>
      <c r="K69" s="2"/>
      <c r="L69" s="2"/>
      <c r="M69" s="2"/>
      <c r="N69" s="2"/>
    </row>
    <row r="70" spans="1:14" x14ac:dyDescent="0.2">
      <c r="A70" s="57" t="s">
        <v>69</v>
      </c>
      <c r="B70" s="4">
        <f>B25</f>
        <v>2021</v>
      </c>
      <c r="C70" s="4">
        <f t="shared" ref="C70:E70" si="36">C25</f>
        <v>2022</v>
      </c>
      <c r="D70" s="4">
        <f t="shared" si="36"/>
        <v>2023</v>
      </c>
      <c r="E70" s="4">
        <f t="shared" si="36"/>
        <v>2024</v>
      </c>
      <c r="F70" s="81" t="s">
        <v>123</v>
      </c>
      <c r="G70" s="68" t="s">
        <v>124</v>
      </c>
      <c r="I70" s="2"/>
      <c r="J70" s="2"/>
      <c r="K70" s="2"/>
      <c r="L70" s="2"/>
      <c r="M70" s="2"/>
      <c r="N70" s="2"/>
    </row>
    <row r="71" spans="1:14" x14ac:dyDescent="0.2">
      <c r="A71" s="1"/>
      <c r="B71" s="3"/>
      <c r="C71" s="3"/>
      <c r="D71" s="3"/>
      <c r="E71" s="3"/>
      <c r="F71" s="3"/>
      <c r="G71" s="3"/>
      <c r="I71" s="2"/>
      <c r="J71" s="2"/>
      <c r="K71" s="2"/>
      <c r="L71" s="2"/>
      <c r="M71" s="2"/>
      <c r="N71" s="2"/>
    </row>
    <row r="72" spans="1:14" x14ac:dyDescent="0.2">
      <c r="A72" s="1" t="s">
        <v>41</v>
      </c>
      <c r="I72" s="2"/>
      <c r="J72" s="2"/>
      <c r="K72" s="2"/>
      <c r="L72" s="2"/>
      <c r="M72" s="2"/>
      <c r="N72" s="2"/>
    </row>
    <row r="73" spans="1:14" x14ac:dyDescent="0.2">
      <c r="A73" s="19" t="s">
        <v>42</v>
      </c>
      <c r="B73" s="33">
        <f t="shared" ref="B73:G73" si="37">B22</f>
        <v>10576.853000000003</v>
      </c>
      <c r="C73" s="33">
        <f t="shared" si="37"/>
        <v>12678.879999999997</v>
      </c>
      <c r="D73" s="33">
        <f t="shared" si="37"/>
        <v>12097.551000000003</v>
      </c>
      <c r="E73" s="33">
        <f t="shared" si="37"/>
        <v>13090.974000000004</v>
      </c>
      <c r="F73" s="33">
        <f t="shared" si="37"/>
        <v>5826.1870000000035</v>
      </c>
      <c r="G73" s="33">
        <f t="shared" si="37"/>
        <v>6232.1229732816591</v>
      </c>
      <c r="I73" s="2"/>
      <c r="J73" s="2"/>
      <c r="K73" s="2"/>
      <c r="L73" s="2"/>
      <c r="M73" s="2"/>
      <c r="N73" s="2"/>
    </row>
    <row r="74" spans="1:14" x14ac:dyDescent="0.2">
      <c r="A74" s="19" t="s">
        <v>43</v>
      </c>
      <c r="B74" s="33">
        <f t="shared" ref="B74:G74" si="38">B12</f>
        <v>1121.973</v>
      </c>
      <c r="C74" s="33">
        <f t="shared" si="38"/>
        <v>1310.7380000000001</v>
      </c>
      <c r="D74" s="33">
        <f t="shared" si="38"/>
        <v>1400.7550000000001</v>
      </c>
      <c r="E74" s="33">
        <f t="shared" si="38"/>
        <v>1430.0419999999999</v>
      </c>
      <c r="F74" s="33">
        <f t="shared" si="38"/>
        <v>1430.0419999999999</v>
      </c>
      <c r="G74" s="33">
        <f t="shared" si="38"/>
        <v>1515.8445199999999</v>
      </c>
      <c r="I74" s="2"/>
      <c r="J74" s="2"/>
      <c r="K74" s="2"/>
      <c r="L74" s="2"/>
      <c r="M74" s="2"/>
      <c r="N74" s="2"/>
    </row>
    <row r="75" spans="1:14" x14ac:dyDescent="0.2">
      <c r="A75" s="19" t="s">
        <v>44</v>
      </c>
      <c r="B75" s="24">
        <v>1061.0319999999999</v>
      </c>
      <c r="C75" s="24">
        <v>1270.52</v>
      </c>
      <c r="D75" s="24">
        <v>1702.682</v>
      </c>
      <c r="E75" s="24">
        <v>1702.682</v>
      </c>
      <c r="F75" s="33">
        <f>E75</f>
        <v>1702.682</v>
      </c>
      <c r="G75" s="33">
        <f>F75</f>
        <v>1702.682</v>
      </c>
      <c r="I75" s="2"/>
      <c r="J75" s="2"/>
      <c r="K75" s="2"/>
      <c r="L75" s="2"/>
      <c r="M75" s="2"/>
      <c r="N75" s="2"/>
    </row>
    <row r="76" spans="1:14" x14ac:dyDescent="0.2">
      <c r="A76" s="19" t="s">
        <v>45</v>
      </c>
      <c r="B76" s="24">
        <v>-342.84899999999999</v>
      </c>
      <c r="C76" s="24">
        <v>-195.97499999999999</v>
      </c>
      <c r="D76" s="24">
        <v>-219.08199999999999</v>
      </c>
      <c r="E76" s="24">
        <v>-144.91999999999999</v>
      </c>
      <c r="F76" s="33">
        <f>E76</f>
        <v>-144.91999999999999</v>
      </c>
      <c r="G76" s="33">
        <f>F76</f>
        <v>-144.91999999999999</v>
      </c>
      <c r="I76" s="2"/>
      <c r="J76" s="2"/>
      <c r="K76" s="2"/>
      <c r="L76" s="2"/>
      <c r="M76" s="2"/>
      <c r="N76" s="2"/>
    </row>
    <row r="77" spans="1:14" s="19" customFormat="1" x14ac:dyDescent="0.2">
      <c r="A77" s="38" t="s">
        <v>46</v>
      </c>
      <c r="I77" s="2"/>
      <c r="J77" s="2"/>
      <c r="K77" s="2"/>
      <c r="L77" s="2"/>
      <c r="M77" s="2"/>
      <c r="N77" s="2"/>
    </row>
    <row r="78" spans="1:14" x14ac:dyDescent="0.2">
      <c r="A78" s="19" t="s">
        <v>47</v>
      </c>
      <c r="B78" s="24">
        <v>1471.6130000000001</v>
      </c>
      <c r="C78" s="24">
        <v>2411.7350000000001</v>
      </c>
      <c r="D78" s="24">
        <v>87.668999999999997</v>
      </c>
      <c r="E78" s="24">
        <v>-601.93499999999995</v>
      </c>
      <c r="F78" s="33">
        <f>D29-F29+36</f>
        <v>-1249.5023945205503</v>
      </c>
      <c r="G78" s="75">
        <f>F29-G29</f>
        <v>-810.76130367122823</v>
      </c>
      <c r="H78" s="19"/>
      <c r="I78" s="2"/>
      <c r="J78" s="2"/>
      <c r="K78" s="2"/>
      <c r="L78" s="2"/>
      <c r="M78" s="2"/>
      <c r="N78" s="2"/>
    </row>
    <row r="79" spans="1:14" x14ac:dyDescent="0.2">
      <c r="A79" s="19" t="s">
        <v>48</v>
      </c>
      <c r="B79" s="41">
        <v>0</v>
      </c>
      <c r="C79" s="41">
        <v>0</v>
      </c>
      <c r="D79" s="41">
        <v>0</v>
      </c>
      <c r="E79" s="41">
        <v>0</v>
      </c>
      <c r="F79" s="33">
        <f>D30-F30</f>
        <v>-4326.4309333333331</v>
      </c>
      <c r="G79" s="75">
        <f>F30-G30</f>
        <v>-259.58585599999969</v>
      </c>
      <c r="H79" s="19"/>
      <c r="I79" s="2"/>
      <c r="J79" s="2"/>
      <c r="K79" s="2"/>
      <c r="L79" s="2"/>
      <c r="M79" s="2"/>
      <c r="N79" s="2"/>
    </row>
    <row r="80" spans="1:14" x14ac:dyDescent="0.2">
      <c r="A80" s="19" t="s">
        <v>49</v>
      </c>
      <c r="B80" s="26">
        <v>1983.9829999999999</v>
      </c>
      <c r="C80" s="26">
        <v>1848.7650000000001</v>
      </c>
      <c r="D80" s="26">
        <v>-860.05499999999995</v>
      </c>
      <c r="E80" s="26">
        <v>-328.53</v>
      </c>
      <c r="F80" s="59">
        <f>F47-D47-782</f>
        <v>13074.172017543862</v>
      </c>
      <c r="G80" s="76">
        <f>G47-F47</f>
        <v>-385.0711232280737</v>
      </c>
      <c r="H80" s="19"/>
      <c r="I80" s="2"/>
      <c r="J80" s="2"/>
      <c r="K80" s="2"/>
      <c r="L80" s="2"/>
      <c r="M80" s="2"/>
      <c r="N80" s="2"/>
    </row>
    <row r="81" spans="1:14" x14ac:dyDescent="0.2">
      <c r="A81" s="9" t="s">
        <v>50</v>
      </c>
      <c r="B81" s="2">
        <f t="shared" ref="B81:G81" si="39">SUM(B73:B76)+SUM(B78:B80)</f>
        <v>15872.605000000001</v>
      </c>
      <c r="C81" s="2">
        <f t="shared" si="39"/>
        <v>19324.662999999997</v>
      </c>
      <c r="D81" s="2">
        <f t="shared" si="39"/>
        <v>14209.520000000004</v>
      </c>
      <c r="E81" s="2">
        <f t="shared" si="39"/>
        <v>15148.313000000004</v>
      </c>
      <c r="F81" s="2">
        <f t="shared" si="39"/>
        <v>16312.229689689982</v>
      </c>
      <c r="G81" s="77">
        <f t="shared" si="39"/>
        <v>7850.3112103823569</v>
      </c>
      <c r="H81" s="19"/>
      <c r="I81" s="2"/>
      <c r="J81" s="2"/>
      <c r="K81" s="2"/>
      <c r="L81" s="2"/>
      <c r="M81" s="2"/>
      <c r="N81" s="2"/>
    </row>
    <row r="82" spans="1:14" x14ac:dyDescent="0.2">
      <c r="A82" s="1"/>
      <c r="B82" s="2"/>
      <c r="C82" s="2"/>
      <c r="D82" s="2"/>
      <c r="E82" s="2"/>
      <c r="F82" s="2"/>
      <c r="G82" s="2"/>
      <c r="H82" s="19"/>
      <c r="I82" s="2"/>
      <c r="J82" s="2"/>
      <c r="K82" s="2"/>
      <c r="L82" s="2"/>
      <c r="M82" s="2"/>
      <c r="N82" s="2"/>
    </row>
    <row r="83" spans="1:14" x14ac:dyDescent="0.2">
      <c r="A83" s="1" t="s">
        <v>51</v>
      </c>
      <c r="C83" s="33"/>
      <c r="H83" s="19"/>
      <c r="I83" s="2"/>
      <c r="J83" s="2"/>
      <c r="K83" s="2"/>
      <c r="L83" s="2"/>
      <c r="M83" s="2"/>
      <c r="N83" s="2"/>
    </row>
    <row r="84" spans="1:14" x14ac:dyDescent="0.2">
      <c r="A84" s="19" t="s">
        <v>52</v>
      </c>
      <c r="B84" s="24">
        <v>-580</v>
      </c>
      <c r="C84" s="24">
        <v>-717</v>
      </c>
      <c r="D84" s="24">
        <v>-528</v>
      </c>
      <c r="E84" s="24">
        <v>-863</v>
      </c>
      <c r="F84" s="33">
        <f>E84+(E12-F12)</f>
        <v>-863</v>
      </c>
      <c r="G84" s="33">
        <f>F84+(F12-G12)</f>
        <v>-948.80251999999996</v>
      </c>
      <c r="H84" s="33"/>
      <c r="I84" s="2"/>
      <c r="J84" s="2"/>
      <c r="K84" s="2"/>
      <c r="L84" s="2"/>
      <c r="M84" s="2"/>
      <c r="N84" s="2"/>
    </row>
    <row r="85" spans="1:14" x14ac:dyDescent="0.2">
      <c r="A85" s="19" t="s">
        <v>53</v>
      </c>
      <c r="B85" s="36">
        <v>-3729</v>
      </c>
      <c r="C85" s="36">
        <v>-3327</v>
      </c>
      <c r="D85" s="36">
        <v>-2094</v>
      </c>
      <c r="E85" s="36">
        <v>-6199</v>
      </c>
      <c r="F85" s="61">
        <f>E85/E5*F5</f>
        <v>-6199</v>
      </c>
      <c r="G85" s="61">
        <f>F85/F5*G5</f>
        <v>-6570.94</v>
      </c>
      <c r="I85" s="2"/>
      <c r="J85" s="2"/>
      <c r="K85" s="2"/>
      <c r="L85" s="2"/>
      <c r="M85" s="2"/>
      <c r="N85" s="2"/>
    </row>
    <row r="86" spans="1:14" x14ac:dyDescent="0.2">
      <c r="A86" s="9" t="s">
        <v>54</v>
      </c>
      <c r="B86" s="2">
        <f t="shared" ref="B86:G86" si="40">SUM(B84:B85)</f>
        <v>-4309</v>
      </c>
      <c r="C86" s="2">
        <f t="shared" si="40"/>
        <v>-4044</v>
      </c>
      <c r="D86" s="2">
        <f t="shared" si="40"/>
        <v>-2622</v>
      </c>
      <c r="E86" s="2">
        <f t="shared" si="40"/>
        <v>-7062</v>
      </c>
      <c r="F86" s="2">
        <f t="shared" si="40"/>
        <v>-7062</v>
      </c>
      <c r="G86" s="2">
        <f t="shared" si="40"/>
        <v>-7519.7425199999998</v>
      </c>
      <c r="I86" s="2"/>
      <c r="J86" s="2"/>
      <c r="K86" s="2"/>
      <c r="L86" s="2"/>
      <c r="M86" s="2"/>
      <c r="N86" s="2"/>
    </row>
    <row r="87" spans="1:14" x14ac:dyDescent="0.2">
      <c r="A87" s="1"/>
      <c r="I87" s="2"/>
      <c r="J87" s="2"/>
      <c r="K87" s="2"/>
      <c r="L87" s="2"/>
      <c r="M87" s="2"/>
      <c r="N87" s="2"/>
    </row>
    <row r="88" spans="1:14" x14ac:dyDescent="0.2">
      <c r="A88" s="1" t="s">
        <v>55</v>
      </c>
      <c r="I88" s="2"/>
      <c r="J88" s="2"/>
      <c r="K88" s="2"/>
      <c r="L88" s="2"/>
      <c r="M88" s="2"/>
      <c r="N88" s="2"/>
    </row>
    <row r="89" spans="1:14" x14ac:dyDescent="0.2">
      <c r="A89" s="19" t="s">
        <v>56</v>
      </c>
      <c r="B89" s="24">
        <v>-2236</v>
      </c>
      <c r="C89" s="24">
        <v>-2457</v>
      </c>
      <c r="D89" s="24">
        <v>-2827</v>
      </c>
      <c r="E89" s="24">
        <v>-3241</v>
      </c>
      <c r="F89" s="33">
        <f>-F65*(F62+F63)/2</f>
        <v>-3134.1992</v>
      </c>
      <c r="G89" s="33">
        <f>-G65*(G62+G63)/2</f>
        <v>-3352.5725894415996</v>
      </c>
      <c r="I89" s="2"/>
      <c r="J89" s="2"/>
      <c r="K89" s="2"/>
      <c r="L89" s="2"/>
      <c r="M89" s="2"/>
      <c r="N89" s="2"/>
    </row>
    <row r="90" spans="1:14" x14ac:dyDescent="0.2">
      <c r="A90" s="19" t="s">
        <v>57</v>
      </c>
      <c r="B90" s="24">
        <v>-2667</v>
      </c>
      <c r="C90" s="24">
        <v>-2767</v>
      </c>
      <c r="D90" s="24">
        <v>-2829.3339999999998</v>
      </c>
      <c r="E90" s="24">
        <v>-2828</v>
      </c>
      <c r="F90" s="33">
        <f t="shared" ref="F90:G92" si="41">E90</f>
        <v>-2828</v>
      </c>
      <c r="G90" s="33">
        <f t="shared" si="41"/>
        <v>-2828</v>
      </c>
      <c r="I90" s="2"/>
      <c r="J90" s="2"/>
      <c r="K90" s="2"/>
      <c r="L90" s="2"/>
      <c r="M90" s="2"/>
      <c r="N90" s="2"/>
    </row>
    <row r="91" spans="1:14" x14ac:dyDescent="0.2">
      <c r="A91" s="19" t="s">
        <v>58</v>
      </c>
      <c r="B91" s="24">
        <v>-7.798</v>
      </c>
      <c r="C91" s="24">
        <v>-16</v>
      </c>
      <c r="D91" s="24">
        <v>93</v>
      </c>
      <c r="E91" s="24">
        <v>0</v>
      </c>
      <c r="F91" s="33">
        <f t="shared" si="41"/>
        <v>0</v>
      </c>
      <c r="G91" s="33">
        <f t="shared" si="41"/>
        <v>0</v>
      </c>
      <c r="I91" s="2"/>
      <c r="J91" s="2"/>
      <c r="K91" s="2"/>
      <c r="L91" s="2"/>
      <c r="M91" s="2"/>
      <c r="N91" s="2"/>
    </row>
    <row r="92" spans="1:14" x14ac:dyDescent="0.2">
      <c r="A92" s="19" t="s">
        <v>59</v>
      </c>
      <c r="B92" s="36">
        <v>-45.095999999999997</v>
      </c>
      <c r="C92" s="36">
        <v>-69.95</v>
      </c>
      <c r="D92" s="36">
        <v>-81.855999999999995</v>
      </c>
      <c r="E92" s="36">
        <v>-543.30100000000004</v>
      </c>
      <c r="F92" s="60">
        <f t="shared" si="41"/>
        <v>-543.30100000000004</v>
      </c>
      <c r="G92" s="60">
        <f t="shared" si="41"/>
        <v>-543.30100000000004</v>
      </c>
      <c r="I92" s="2"/>
      <c r="J92" s="2"/>
      <c r="K92" s="2"/>
      <c r="L92" s="2"/>
      <c r="M92" s="2"/>
      <c r="N92" s="2"/>
    </row>
    <row r="93" spans="1:14" x14ac:dyDescent="0.2">
      <c r="A93" s="9" t="s">
        <v>60</v>
      </c>
      <c r="B93" s="2">
        <f t="shared" ref="B93:G93" si="42">SUM(B89:B92)</f>
        <v>-4955.8939999999993</v>
      </c>
      <c r="C93" s="2">
        <f t="shared" si="42"/>
        <v>-5309.95</v>
      </c>
      <c r="D93" s="2">
        <f t="shared" si="42"/>
        <v>-5645.19</v>
      </c>
      <c r="E93" s="2">
        <f t="shared" si="42"/>
        <v>-6612.3010000000004</v>
      </c>
      <c r="F93" s="2">
        <f t="shared" si="42"/>
        <v>-6505.5002000000004</v>
      </c>
      <c r="G93" s="2">
        <f t="shared" si="42"/>
        <v>-6723.8735894415995</v>
      </c>
      <c r="I93" s="2"/>
      <c r="J93" s="2"/>
      <c r="K93" s="2"/>
      <c r="L93" s="2"/>
      <c r="M93" s="2"/>
      <c r="N93" s="2"/>
    </row>
    <row r="94" spans="1:14" x14ac:dyDescent="0.2">
      <c r="A94" s="1"/>
      <c r="B94" s="2"/>
      <c r="C94" s="2"/>
      <c r="D94" s="2"/>
      <c r="E94" s="2"/>
      <c r="F94" s="2"/>
      <c r="G94" s="2"/>
      <c r="I94" s="2"/>
      <c r="J94" s="2"/>
      <c r="K94" s="2"/>
      <c r="L94" s="2"/>
      <c r="M94" s="2"/>
      <c r="N94" s="2"/>
    </row>
    <row r="95" spans="1:14" x14ac:dyDescent="0.2">
      <c r="A95" s="18" t="s">
        <v>61</v>
      </c>
      <c r="B95" s="36">
        <v>0</v>
      </c>
      <c r="C95" s="36">
        <v>0</v>
      </c>
      <c r="D95" s="36">
        <v>0</v>
      </c>
      <c r="E95" s="36">
        <v>0</v>
      </c>
      <c r="F95" s="60">
        <f>E95</f>
        <v>0</v>
      </c>
      <c r="G95" s="60">
        <f>F95</f>
        <v>0</v>
      </c>
      <c r="I95" s="2"/>
      <c r="J95" s="2"/>
      <c r="K95" s="2"/>
      <c r="L95" s="2"/>
      <c r="M95" s="2"/>
      <c r="N95" s="2"/>
    </row>
    <row r="96" spans="1:14" x14ac:dyDescent="0.2">
      <c r="A96" s="5" t="s">
        <v>62</v>
      </c>
      <c r="B96" s="33">
        <f t="shared" ref="B96:G96" si="43">B81+B86+B93+B95</f>
        <v>6607.7110000000021</v>
      </c>
      <c r="C96" s="33">
        <f t="shared" si="43"/>
        <v>9970.7129999999961</v>
      </c>
      <c r="D96" s="33">
        <f t="shared" si="43"/>
        <v>5942.3300000000045</v>
      </c>
      <c r="E96" s="33">
        <f t="shared" si="43"/>
        <v>1474.0120000000034</v>
      </c>
      <c r="F96" s="33">
        <f t="shared" si="43"/>
        <v>2744.7294896899821</v>
      </c>
      <c r="G96" s="75">
        <f t="shared" si="43"/>
        <v>-6393.3048990592424</v>
      </c>
      <c r="I96" s="2"/>
      <c r="J96" s="2"/>
      <c r="K96" s="2"/>
      <c r="L96" s="2"/>
      <c r="M96" s="2"/>
      <c r="N96" s="2"/>
    </row>
    <row r="97" spans="1:14" x14ac:dyDescent="0.2">
      <c r="A97" s="18" t="s">
        <v>63</v>
      </c>
      <c r="B97" s="33">
        <f>B28-B96</f>
        <v>1560.4629999999979</v>
      </c>
      <c r="C97" s="33">
        <f>B98</f>
        <v>8168.174</v>
      </c>
      <c r="D97" s="33">
        <f>C98</f>
        <v>18138.886999999995</v>
      </c>
      <c r="E97" s="33">
        <f>D98</f>
        <v>24081.217000000001</v>
      </c>
      <c r="F97" s="33">
        <f>E97</f>
        <v>24081.217000000001</v>
      </c>
      <c r="G97" s="33">
        <f>F98</f>
        <v>26825.946489689981</v>
      </c>
      <c r="I97" s="2"/>
      <c r="J97" s="2"/>
      <c r="K97" s="2"/>
      <c r="L97" s="2"/>
      <c r="M97" s="2"/>
      <c r="N97" s="2"/>
    </row>
    <row r="98" spans="1:14" x14ac:dyDescent="0.2">
      <c r="A98" s="18" t="s">
        <v>64</v>
      </c>
      <c r="B98" s="33">
        <f t="shared" ref="B98:G98" si="44">B96+B97</f>
        <v>8168.174</v>
      </c>
      <c r="C98" s="33">
        <f t="shared" si="44"/>
        <v>18138.886999999995</v>
      </c>
      <c r="D98" s="33">
        <f t="shared" si="44"/>
        <v>24081.217000000001</v>
      </c>
      <c r="E98" s="33">
        <f t="shared" si="44"/>
        <v>25555.229000000003</v>
      </c>
      <c r="F98" s="33">
        <f t="shared" si="44"/>
        <v>26825.946489689981</v>
      </c>
      <c r="G98" s="75">
        <f t="shared" si="44"/>
        <v>20432.641590630737</v>
      </c>
      <c r="I98" s="2"/>
      <c r="J98" s="2"/>
      <c r="K98" s="2"/>
      <c r="L98" s="2"/>
      <c r="M98" s="2"/>
      <c r="N98" s="2"/>
    </row>
    <row r="99" spans="1:14" x14ac:dyDescent="0.2">
      <c r="F99" s="33"/>
      <c r="G99" s="33"/>
    </row>
  </sheetData>
  <pageMargins left="0.7" right="0.7" top="0.75" bottom="0.75" header="0.3" footer="0.3"/>
  <pageSetup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3CE3-06E6-554F-B470-D98E63C3DE2D}">
  <sheetPr>
    <tabColor theme="0" tint="-0.249977111117893"/>
  </sheetPr>
  <dimension ref="A1:H82"/>
  <sheetViews>
    <sheetView zoomScaleNormal="70" workbookViewId="0">
      <selection activeCell="F25" sqref="F25"/>
    </sheetView>
  </sheetViews>
  <sheetFormatPr baseColWidth="10" defaultColWidth="10.83203125" defaultRowHeight="16" x14ac:dyDescent="0.2"/>
  <cols>
    <col min="1" max="1" width="53.83203125" style="18" customWidth="1"/>
    <col min="2" max="7" width="12.83203125" style="18" customWidth="1"/>
    <col min="8" max="16384" width="10.83203125" style="18"/>
  </cols>
  <sheetData>
    <row r="1" spans="1:7" s="17" customFormat="1" ht="20" x14ac:dyDescent="0.2">
      <c r="A1" s="15" t="str">
        <f>'FS Data'!A1</f>
        <v>Accenture</v>
      </c>
      <c r="B1" s="16"/>
      <c r="C1" s="16"/>
      <c r="D1" s="16"/>
      <c r="E1" s="16"/>
      <c r="F1" s="16"/>
      <c r="G1" s="16"/>
    </row>
    <row r="2" spans="1:7" x14ac:dyDescent="0.2">
      <c r="B2" s="3"/>
      <c r="C2" s="3"/>
      <c r="D2" s="3"/>
      <c r="E2" s="3"/>
      <c r="F2" s="80">
        <f>'FS Data'!F3</f>
        <v>2024</v>
      </c>
      <c r="G2" s="67">
        <f>'FS Data'!G3</f>
        <v>2025</v>
      </c>
    </row>
    <row r="3" spans="1:7" x14ac:dyDescent="0.2">
      <c r="A3" s="57" t="s">
        <v>130</v>
      </c>
      <c r="B3" s="4">
        <f>'FS Data'!B4</f>
        <v>2021</v>
      </c>
      <c r="C3" s="4">
        <f>'FS Data'!C4</f>
        <v>2022</v>
      </c>
      <c r="D3" s="4">
        <f>'FS Data'!D4</f>
        <v>2023</v>
      </c>
      <c r="E3" s="4">
        <f>'FS Data'!E4</f>
        <v>2024</v>
      </c>
      <c r="F3" s="81" t="s">
        <v>123</v>
      </c>
      <c r="G3" s="68" t="s">
        <v>124</v>
      </c>
    </row>
    <row r="4" spans="1:7" x14ac:dyDescent="0.2">
      <c r="A4" s="69" t="s">
        <v>131</v>
      </c>
      <c r="B4" s="70">
        <f>'FS Data'!B67/'FS Data'!B5</f>
        <v>5.1933130776168603</v>
      </c>
      <c r="C4" s="70">
        <f>'FS Data'!C67/'FS Data'!C5</f>
        <v>2.6317084217445101</v>
      </c>
      <c r="D4" s="70">
        <f>'FS Data'!D67/'FS Data'!D5</f>
        <v>3.3693242634403409</v>
      </c>
      <c r="E4" s="70">
        <f>'FS Data'!E67/'FS Data'!E5</f>
        <v>3.425733989143076</v>
      </c>
      <c r="F4" s="70">
        <f>'FS Data'!F67/'FS Data'!F5</f>
        <v>1.5370065936734156</v>
      </c>
      <c r="G4" s="70">
        <f>'FS Data'!G67/'FS Data'!G5</f>
        <v>1.5495692420262672</v>
      </c>
    </row>
    <row r="5" spans="1:7" x14ac:dyDescent="0.2">
      <c r="A5" s="69" t="s">
        <v>132</v>
      </c>
      <c r="B5" s="70">
        <f>'FS Data'!B67/'FS Data'!B10</f>
        <v>34.433346093193279</v>
      </c>
      <c r="C5" s="70">
        <f>'FS Data'!C67/'FS Data'!C10</f>
        <v>17.304912886811952</v>
      </c>
      <c r="D5" s="70">
        <f>'FS Data'!D67/'FS Data'!D10</f>
        <v>24.519407452239172</v>
      </c>
      <c r="E5" s="70">
        <f>'FS Data'!E67/'FS Data'!E10</f>
        <v>23.168149981966152</v>
      </c>
      <c r="F5" s="70">
        <f>'FS Data'!F67/'FS Data'!F10</f>
        <v>10.394735667845623</v>
      </c>
      <c r="G5" s="70">
        <f>'FS Data'!G67/'FS Data'!G10</f>
        <v>10.399793570646089</v>
      </c>
    </row>
    <row r="6" spans="1:7" x14ac:dyDescent="0.2">
      <c r="A6" s="69" t="s">
        <v>133</v>
      </c>
      <c r="B6" s="70">
        <f>'FS Data'!B67/'FS Data'!B81</f>
        <v>16.533877706274424</v>
      </c>
      <c r="C6" s="70">
        <f>'FS Data'!C67/'FS Data'!C81</f>
        <v>8.3881541013160241</v>
      </c>
      <c r="D6" s="70">
        <f>'FS Data'!D67/'FS Data'!D81</f>
        <v>15.202009497857768</v>
      </c>
      <c r="E6" s="70">
        <f>'FS Data'!E67/'FS Data'!E81</f>
        <v>14.676091159457821</v>
      </c>
      <c r="F6" s="70">
        <f>'FS Data'!F67/'FS Data'!F81</f>
        <v>6.1148166113142288</v>
      </c>
      <c r="G6" s="70">
        <f>'FS Data'!G67/'FS Data'!G81</f>
        <v>13.578475495535546</v>
      </c>
    </row>
    <row r="7" spans="1:7" x14ac:dyDescent="0.2">
      <c r="A7" s="69" t="s">
        <v>134</v>
      </c>
      <c r="B7" s="71">
        <f>'FS Data'!B13-'FS Data'!B18+'FS Data'!B12-'FS Data'!B84+'FS Data'!B78+'FS Data'!B79+'FS Data'!B80-'FS Data'!B75-'FS Data'!B76</f>
        <v>9168.3990000000031</v>
      </c>
      <c r="C7" s="71">
        <f>'FS Data'!C13-'FS Data'!C18+'FS Data'!C12-'FS Data'!C84+'FS Data'!C78+'FS Data'!C79+'FS Data'!C80-'FS Data'!C75-'FS Data'!C76</f>
        <v>11062.928999999996</v>
      </c>
      <c r="D7" s="71">
        <f>'FS Data'!D13-'FS Data'!D18+'FS Data'!D12-'FS Data'!D84+'FS Data'!D78+'FS Data'!D79+'FS Data'!D80-'FS Data'!D75-'FS Data'!D76</f>
        <v>4946.0830000000024</v>
      </c>
      <c r="E7" s="71">
        <f>'FS Data'!E13-'FS Data'!E18+'FS Data'!E12-'FS Data'!E84+'FS Data'!E78+'FS Data'!E79+'FS Data'!E80-'FS Data'!E75-'FS Data'!E76</f>
        <v>5690.4940000000042</v>
      </c>
      <c r="F7" s="71">
        <f>'FS Data'!F13-'FS Data'!F18+'FS Data'!F12-'FS Data'!F84+'FS Data'!F78+'FS Data'!F79+'FS Data'!F80-'FS Data'!F75-'FS Data'!F76</f>
        <v>14119.197689689981</v>
      </c>
      <c r="G7" s="71">
        <f>'FS Data'!G13-'FS Data'!G18+'FS Data'!G12-'FS Data'!G84+'FS Data'!G78+'FS Data'!G79+'FS Data'!G80-'FS Data'!G75-'FS Data'!G76</f>
        <v>5746.3773934261581</v>
      </c>
    </row>
    <row r="8" spans="1:7" x14ac:dyDescent="0.2">
      <c r="A8" s="19"/>
      <c r="B8" s="20"/>
      <c r="C8" s="20"/>
      <c r="D8" s="20"/>
      <c r="E8" s="20"/>
      <c r="F8" s="20"/>
      <c r="G8" s="20"/>
    </row>
    <row r="9" spans="1:7" x14ac:dyDescent="0.2">
      <c r="A9" s="57" t="s">
        <v>138</v>
      </c>
      <c r="B9" s="20"/>
    </row>
    <row r="10" spans="1:7" x14ac:dyDescent="0.2">
      <c r="A10" s="69" t="s">
        <v>135</v>
      </c>
      <c r="B10" s="70">
        <f t="shared" ref="B10:G11" si="0">B44</f>
        <v>24.731814080237282</v>
      </c>
      <c r="C10" s="70">
        <f t="shared" si="0"/>
        <v>12.719699310980152</v>
      </c>
      <c r="D10" s="70">
        <f t="shared" si="0"/>
        <v>17.749214200460898</v>
      </c>
      <c r="E10" s="70">
        <f t="shared" si="0"/>
        <v>16.872033471306256</v>
      </c>
      <c r="F10" s="70">
        <f t="shared" si="0"/>
        <v>16.872033471306256</v>
      </c>
      <c r="G10" s="70">
        <f t="shared" si="0"/>
        <v>16.872033471306256</v>
      </c>
    </row>
    <row r="11" spans="1:7" x14ac:dyDescent="0.2">
      <c r="A11" s="69" t="s">
        <v>136</v>
      </c>
      <c r="B11" s="70">
        <f t="shared" si="0"/>
        <v>22.359915597513798</v>
      </c>
      <c r="C11" s="70">
        <f t="shared" si="0"/>
        <v>11.527944594341321</v>
      </c>
      <c r="D11" s="70">
        <f t="shared" si="0"/>
        <v>15.907331186594815</v>
      </c>
      <c r="E11" s="70">
        <f t="shared" si="0"/>
        <v>15.210461272131369</v>
      </c>
      <c r="F11" s="70">
        <f t="shared" si="0"/>
        <v>13.546929413899342</v>
      </c>
      <c r="G11" s="70">
        <f t="shared" si="0"/>
        <v>13.571118811956843</v>
      </c>
    </row>
    <row r="12" spans="1:7" x14ac:dyDescent="0.2">
      <c r="A12" s="69" t="s">
        <v>137</v>
      </c>
      <c r="B12" s="72" t="s">
        <v>79</v>
      </c>
      <c r="C12" s="70">
        <f>C10/('FS Data'!C22/'FS Data'!B22)</f>
        <v>10.610904891949323</v>
      </c>
      <c r="D12" s="70">
        <f>D10/('FS Data'!D22/'FS Data'!C22)</f>
        <v>18.602125086469119</v>
      </c>
      <c r="E12" s="70">
        <f>E10/('FS Data'!E22/'FS Data'!D22)</f>
        <v>15.591680603202976</v>
      </c>
      <c r="F12" s="70">
        <f>F10/('FS Data'!F22/'FS Data'!E22)</f>
        <v>37.910103383224723</v>
      </c>
      <c r="G12" s="70">
        <f>G10/('FS Data'!G22/'FS Data'!F22)</f>
        <v>15.773055585635797</v>
      </c>
    </row>
    <row r="13" spans="1:7" x14ac:dyDescent="0.2">
      <c r="B13" s="7"/>
      <c r="C13" s="7"/>
      <c r="D13" s="7"/>
      <c r="E13" s="7"/>
      <c r="F13" s="7"/>
    </row>
    <row r="14" spans="1:7" x14ac:dyDescent="0.2">
      <c r="A14" s="57" t="s">
        <v>73</v>
      </c>
    </row>
    <row r="15" spans="1:7" x14ac:dyDescent="0.2">
      <c r="A15" s="19" t="s">
        <v>101</v>
      </c>
      <c r="B15" s="20">
        <f>'FS Data'!B32/'FS Data'!B47</f>
        <v>1.6366547518982968</v>
      </c>
      <c r="C15" s="20">
        <f>'FS Data'!C32/'FS Data'!C47</f>
        <v>1.5604897184046966</v>
      </c>
      <c r="D15" s="20">
        <f>'FS Data'!D32/'FS Data'!D47</f>
        <v>1.6701203923073091</v>
      </c>
      <c r="E15" s="20">
        <f>'FS Data'!E32/'FS Data'!E47</f>
        <v>1.4198576301743269</v>
      </c>
      <c r="F15" s="20">
        <f>'FS Data'!F32/'FS Data'!F47</f>
        <v>0.89861310505845149</v>
      </c>
      <c r="G15" s="20">
        <f>'FS Data'!G32/'FS Data'!G47</f>
        <v>0.96588173313435044</v>
      </c>
    </row>
    <row r="16" spans="1:7" x14ac:dyDescent="0.2">
      <c r="A16" s="19" t="s">
        <v>103</v>
      </c>
      <c r="B16" s="20">
        <f>('FS Data'!B28+'FS Data'!B31+'FS Data'!B29)/'FS Data'!B47</f>
        <v>1.6366547518982968</v>
      </c>
      <c r="C16" s="20">
        <f>('FS Data'!C28+'FS Data'!C31+'FS Data'!C29)/'FS Data'!C47</f>
        <v>1.5604897184046966</v>
      </c>
      <c r="D16" s="20">
        <f>('FS Data'!D28+'FS Data'!D31+'FS Data'!D29)/'FS Data'!D47</f>
        <v>1.6701203923073091</v>
      </c>
      <c r="E16" s="20">
        <f>('FS Data'!E28+'FS Data'!E31+'FS Data'!E29)/'FS Data'!E47</f>
        <v>1.4198576301743269</v>
      </c>
      <c r="F16" s="20">
        <f>('FS Data'!F28+'FS Data'!F31+'FS Data'!F29)/'FS Data'!F47</f>
        <v>0.74330073479845571</v>
      </c>
      <c r="G16" s="20">
        <f>('FS Data'!G28+'FS Data'!G31+'FS Data'!G29)/'FS Data'!G47</f>
        <v>0.7989429465536998</v>
      </c>
    </row>
    <row r="17" spans="1:8" x14ac:dyDescent="0.2">
      <c r="A17" s="19" t="s">
        <v>108</v>
      </c>
      <c r="B17" s="20">
        <f>('FS Data'!B28+'FS Data'!B31)/'FS Data'!B47</f>
        <v>0.82689233307878973</v>
      </c>
      <c r="C17" s="20">
        <f>('FS Data'!C28+'FS Data'!C31)/'FS Data'!C47</f>
        <v>0.71010583968618168</v>
      </c>
      <c r="D17" s="20">
        <f>('FS Data'!D28+'FS Data'!D31)/'FS Data'!D47</f>
        <v>0.79675913402909271</v>
      </c>
      <c r="E17" s="20">
        <f>('FS Data'!E28+'FS Data'!E31)/'FS Data'!E47</f>
        <v>0.48964663226832905</v>
      </c>
      <c r="F17" s="20">
        <f>('FS Data'!F28+'FS Data'!F31)/'FS Data'!F47</f>
        <v>0.25821552357545524</v>
      </c>
      <c r="G17" s="20">
        <f>('FS Data'!G28+'FS Data'!G31)/'FS Data'!G47</f>
        <v>0.2775450925757772</v>
      </c>
    </row>
    <row r="18" spans="1:8" x14ac:dyDescent="0.2">
      <c r="B18" s="2"/>
      <c r="C18" s="2"/>
      <c r="D18" s="2"/>
      <c r="E18" s="2"/>
      <c r="F18" s="2"/>
      <c r="G18" s="2"/>
    </row>
    <row r="19" spans="1:8" x14ac:dyDescent="0.2">
      <c r="A19" s="57" t="s">
        <v>78</v>
      </c>
      <c r="B19" s="2"/>
      <c r="C19" s="2"/>
      <c r="D19" s="2"/>
      <c r="E19" s="2"/>
      <c r="F19" s="2"/>
      <c r="G19" s="2"/>
    </row>
    <row r="20" spans="1:8" x14ac:dyDescent="0.2">
      <c r="A20" s="19" t="s">
        <v>127</v>
      </c>
      <c r="B20" s="20">
        <f>('FS Data'!B29/'FS Data'!B5)*365</f>
        <v>70.266361513968505</v>
      </c>
      <c r="C20" s="20">
        <f>('FS Data'!C29/'FS Data'!C5)*365</f>
        <v>69.787667463737108</v>
      </c>
      <c r="D20" s="20">
        <f>('FS Data'!D29/'FS Data'!D5)*365</f>
        <v>69.611627167533811</v>
      </c>
      <c r="E20" s="20">
        <f>('FS Data'!E29/'FS Data'!E5)*365</f>
        <v>76.855792250869015</v>
      </c>
      <c r="F20" s="62">
        <v>76</v>
      </c>
      <c r="G20" s="65">
        <f>F20</f>
        <v>76</v>
      </c>
      <c r="H20" s="66" t="s">
        <v>126</v>
      </c>
    </row>
    <row r="21" spans="1:8" x14ac:dyDescent="0.2">
      <c r="A21" s="19" t="s">
        <v>105</v>
      </c>
      <c r="B21" s="20" t="e">
        <f>'FS Data'!B5/'FS Data'!B30</f>
        <v>#DIV/0!</v>
      </c>
      <c r="C21" s="20" t="e">
        <f>'FS Data'!C5/'FS Data'!C30</f>
        <v>#DIV/0!</v>
      </c>
      <c r="D21" s="20" t="e">
        <f>'FS Data'!D5/'FS Data'!D30</f>
        <v>#DIV/0!</v>
      </c>
      <c r="E21" s="20" t="e">
        <f>'FS Data'!E5/'FS Data'!E30</f>
        <v>#DIV/0!</v>
      </c>
      <c r="F21" s="62">
        <v>15</v>
      </c>
      <c r="G21" s="65">
        <f>F21</f>
        <v>15</v>
      </c>
      <c r="H21" s="66" t="s">
        <v>128</v>
      </c>
    </row>
    <row r="22" spans="1:8" x14ac:dyDescent="0.2">
      <c r="A22" s="19" t="s">
        <v>106</v>
      </c>
      <c r="B22" s="20">
        <f>'FS Data'!B5/'FS Data'!B38</f>
        <v>2.9846108241084157</v>
      </c>
      <c r="C22" s="20">
        <f>'FS Data'!C5/'FS Data'!C38</f>
        <v>3.1781036174084538</v>
      </c>
      <c r="D22" s="20">
        <f>'FS Data'!D5/'FS Data'!D38</f>
        <v>3.2193325120936351</v>
      </c>
      <c r="E22" s="20">
        <f>'FS Data'!E5/'FS Data'!E38</f>
        <v>2.4167641555801658</v>
      </c>
      <c r="F22" s="20">
        <f>'FS Data'!F5/'FS Data'!F38</f>
        <v>2.4167641555801658</v>
      </c>
      <c r="G22" s="20">
        <f>'FS Data'!G5/'FS Data'!G38</f>
        <v>2.430790182909532</v>
      </c>
    </row>
    <row r="23" spans="1:8" x14ac:dyDescent="0.2">
      <c r="A23" s="19" t="s">
        <v>107</v>
      </c>
      <c r="B23" s="20">
        <f>'FS Data'!B5/'FS Data'!B40</f>
        <v>1.3809376919140333</v>
      </c>
      <c r="C23" s="20">
        <f>'FS Data'!C5/'FS Data'!C40</f>
        <v>1.5026040511072154</v>
      </c>
      <c r="D23" s="20">
        <f>'FS Data'!D5/'FS Data'!D40</f>
        <v>1.4807591202613217</v>
      </c>
      <c r="E23" s="20">
        <f>'FS Data'!E5/'FS Data'!E40</f>
        <v>1.3602161054714963</v>
      </c>
      <c r="F23" s="20">
        <f>'FS Data'!F5/'FS Data'!F40</f>
        <v>1.2507827906177469</v>
      </c>
      <c r="G23" s="20">
        <f>'FS Data'!G5/'FS Data'!G40</f>
        <v>1.2545292032453348</v>
      </c>
    </row>
    <row r="24" spans="1:8" x14ac:dyDescent="0.2">
      <c r="A24" s="19" t="s">
        <v>125</v>
      </c>
      <c r="B24" s="22" t="s">
        <v>79</v>
      </c>
      <c r="C24" s="20">
        <f>('FS Data'!C6+'FS Data'!C30-'FS Data'!B30)/'FS Data'!C44</f>
        <v>3.3979941883454634</v>
      </c>
      <c r="D24" s="20">
        <f>('FS Data'!D6+'FS Data'!D30-'FS Data'!C30)/'FS Data'!D44</f>
        <v>3.5249321525850354</v>
      </c>
      <c r="E24" s="20">
        <f>('FS Data'!E6+'FS Data'!E30-'FS Data'!D30)/'FS Data'!E44</f>
        <v>3.6058179174430918</v>
      </c>
      <c r="F24" s="62">
        <v>1.9</v>
      </c>
      <c r="G24" s="65">
        <f>F24</f>
        <v>1.9</v>
      </c>
      <c r="H24" s="66" t="s">
        <v>126</v>
      </c>
    </row>
    <row r="26" spans="1:8" x14ac:dyDescent="0.2">
      <c r="A26" s="57" t="s">
        <v>74</v>
      </c>
    </row>
    <row r="27" spans="1:8" x14ac:dyDescent="0.2">
      <c r="A27" s="19" t="s">
        <v>118</v>
      </c>
      <c r="B27" s="21">
        <f>('FS Data'!B45+'FS Data'!B50)/'FS Data'!B40</f>
        <v>1.7913821002197303E-3</v>
      </c>
      <c r="C27" s="21">
        <f>('FS Data'!C45+'FS Data'!C50)/'FS Data'!C40</f>
        <v>1.3433936771649934E-3</v>
      </c>
      <c r="D27" s="21">
        <f>('FS Data'!D45+'FS Data'!D50)/'FS Data'!D40</f>
        <v>1.2373737309580335E-2</v>
      </c>
      <c r="E27" s="21">
        <f>('FS Data'!E45+'FS Data'!E50)/'FS Data'!E40</f>
        <v>2.1480785104180732E-2</v>
      </c>
      <c r="F27" s="21">
        <f>('FS Data'!F45+'FS Data'!F50)/'FS Data'!F40</f>
        <v>1.9752593892390379E-2</v>
      </c>
      <c r="G27" s="21">
        <f>('FS Data'!G45+'FS Data'!G50)/'FS Data'!G40</f>
        <v>1.9725721510861414E-2</v>
      </c>
    </row>
    <row r="28" spans="1:8" x14ac:dyDescent="0.2">
      <c r="A28" s="19" t="s">
        <v>115</v>
      </c>
      <c r="B28" s="21">
        <f>('FS Data'!B45+'FS Data'!B50)/('FS Data'!B45+'FS Data'!B50+'FS Data'!B58)</f>
        <v>3.2512067971960253E-3</v>
      </c>
      <c r="C28" s="21">
        <f>('FS Data'!C45+'FS Data'!C50)/('FS Data'!C45+'FS Data'!C50+'FS Data'!C58)</f>
        <v>2.415034788815584E-3</v>
      </c>
      <c r="D28" s="21">
        <f>('FS Data'!D45+'FS Data'!D50)/('FS Data'!D45+'FS Data'!D50+'FS Data'!D58)</f>
        <v>1.984638775849731E-2</v>
      </c>
      <c r="E28" s="21">
        <f>('FS Data'!E45+'FS Data'!E50)/('FS Data'!E45+'FS Data'!E50+'FS Data'!E58)</f>
        <v>3.3943411914740138E-2</v>
      </c>
      <c r="F28" s="21">
        <f>('FS Data'!F45+'FS Data'!F50)/('FS Data'!F45+'FS Data'!F50+'FS Data'!F58)</f>
        <v>4.3414101602503349E-2</v>
      </c>
      <c r="G28" s="21">
        <f>('FS Data'!G45+'FS Data'!G50)/('FS Data'!G45+'FS Data'!G50+'FS Data'!G58)</f>
        <v>4.006450573517565E-2</v>
      </c>
    </row>
    <row r="29" spans="1:8" x14ac:dyDescent="0.2">
      <c r="A29" s="19" t="s">
        <v>109</v>
      </c>
      <c r="B29" s="21">
        <f>('FS Data'!B45+'FS Data'!B50)/'FS Data'!B58</f>
        <v>3.2618116213104027E-3</v>
      </c>
      <c r="C29" s="21">
        <f>('FS Data'!C45+'FS Data'!C50)/'FS Data'!C58</f>
        <v>2.4208813013780047E-3</v>
      </c>
      <c r="D29" s="21">
        <f>('FS Data'!D45+'FS Data'!D50)/'FS Data'!D58</f>
        <v>2.0248242225125123E-2</v>
      </c>
      <c r="E29" s="21">
        <f>('FS Data'!E45+'FS Data'!E50)/'FS Data'!E58</f>
        <v>3.5136049309509435E-2</v>
      </c>
      <c r="F29" s="21">
        <f>('FS Data'!F45+'FS Data'!F50)/'FS Data'!F58</f>
        <v>4.538442566969892E-2</v>
      </c>
      <c r="G29" s="21">
        <f>('FS Data'!G45+'FS Data'!G50)/'FS Data'!G58</f>
        <v>4.1736664572299652E-2</v>
      </c>
    </row>
    <row r="30" spans="1:8" x14ac:dyDescent="0.2">
      <c r="A30" s="19" t="s">
        <v>117</v>
      </c>
      <c r="B30" s="21">
        <f>('FS Data'!B45+'FS Data'!B50)/('FS Data'!B45+'FS Data'!B50+'FS Data'!B66)</f>
        <v>2.5053667530469751E-4</v>
      </c>
      <c r="C30" s="21">
        <f>('FS Data'!C45+'FS Data'!C50)/('FS Data'!C45+'FS Data'!C50+'FS Data'!C66)</f>
        <v>3.4134480525609405E-4</v>
      </c>
      <c r="D30" s="21">
        <f>('FS Data'!D45+'FS Data'!D50)/('FS Data'!D45+'FS Data'!D50+'FS Data'!D66)</f>
        <v>2.4888300893063263E-3</v>
      </c>
      <c r="E30" s="21">
        <f>('FS Data'!E45+'FS Data'!E50)/('FS Data'!E45+'FS Data'!E50+'FS Data'!E66)</f>
        <v>4.6186323188122432E-3</v>
      </c>
      <c r="F30" s="21">
        <f>('FS Data'!F45+'FS Data'!F50)/('FS Data'!F45+'FS Data'!F50+'FS Data'!F66)</f>
        <v>1.0318272087141023E-2</v>
      </c>
      <c r="G30" s="21">
        <f>('FS Data'!G45+'FS Data'!G50)/('FS Data'!G45+'FS Data'!G50+'FS Data'!G66)</f>
        <v>1.0181949721208547E-2</v>
      </c>
    </row>
    <row r="31" spans="1:8" x14ac:dyDescent="0.2">
      <c r="A31" s="19" t="s">
        <v>119</v>
      </c>
      <c r="B31" s="21">
        <f>'FS Data'!B55/'FS Data'!B40</f>
        <v>0.35155419401564758</v>
      </c>
      <c r="C31" s="21">
        <f>'FS Data'!C55/'FS Data'!C40</f>
        <v>0.35801107282504718</v>
      </c>
      <c r="D31" s="21">
        <f>'FS Data'!D55/'FS Data'!D40</f>
        <v>0.35317790643727898</v>
      </c>
      <c r="E31" s="21">
        <f>'FS Data'!E55/'FS Data'!E40</f>
        <v>0.3382222666849185</v>
      </c>
      <c r="F31" s="21">
        <f>'FS Data'!F55/'FS Data'!F40</f>
        <v>0.56477153558917303</v>
      </c>
      <c r="G31" s="21">
        <f>'FS Data'!G55/'FS Data'!G40</f>
        <v>0.52737666718213883</v>
      </c>
    </row>
    <row r="32" spans="1:8" x14ac:dyDescent="0.2">
      <c r="A32" s="19" t="s">
        <v>111</v>
      </c>
      <c r="B32" s="20">
        <f>'FS Data'!B13/'FS Data'!B15</f>
        <v>110.22035306686568</v>
      </c>
      <c r="C32" s="20">
        <f>'FS Data'!C13/'FS Data'!C15</f>
        <v>169.52010520778532</v>
      </c>
      <c r="D32" s="20">
        <f>'FS Data'!D13/'FS Data'!D15</f>
        <v>156.57510566356726</v>
      </c>
      <c r="E32" s="20">
        <f>'FS Data'!E13/'FS Data'!E15</f>
        <v>137.25887514287643</v>
      </c>
      <c r="F32" s="20">
        <f>'FS Data'!F13/'FS Data'!F15</f>
        <v>137.25887514287643</v>
      </c>
      <c r="G32" s="20">
        <f>'FS Data'!G13/'FS Data'!G15</f>
        <v>139.10221500149297</v>
      </c>
    </row>
    <row r="34" spans="1:7" x14ac:dyDescent="0.2">
      <c r="A34" s="57" t="s">
        <v>75</v>
      </c>
    </row>
    <row r="35" spans="1:7" x14ac:dyDescent="0.2">
      <c r="A35" s="19" t="s">
        <v>113</v>
      </c>
      <c r="B35" s="21">
        <f>'FS Data'!B7/'FS Data'!B5</f>
        <v>0.32382858786692503</v>
      </c>
      <c r="C35" s="21">
        <f>'FS Data'!C7/'FS Data'!C5</f>
        <v>0.3198597500207202</v>
      </c>
      <c r="D35" s="21">
        <f>'FS Data'!D7/'FS Data'!D5</f>
        <v>0.32336675596647702</v>
      </c>
      <c r="E35" s="21">
        <f>'FS Data'!E7/'FS Data'!E5</f>
        <v>0.32609352953344273</v>
      </c>
      <c r="F35" s="21">
        <f>'FS Data'!F7/'FS Data'!F5</f>
        <v>0.32609352953344273</v>
      </c>
      <c r="G35" s="21">
        <f>'FS Data'!G7/'FS Data'!G5</f>
        <v>0.32</v>
      </c>
    </row>
    <row r="36" spans="1:7" x14ac:dyDescent="0.2">
      <c r="A36" s="19" t="s">
        <v>112</v>
      </c>
      <c r="B36" s="21">
        <f>'FS Data'!B13/'FS Data'!B5</f>
        <v>0.12861959446258397</v>
      </c>
      <c r="C36" s="21">
        <f>'FS Data'!C13/'FS Data'!C5</f>
        <v>0.13079850482930194</v>
      </c>
      <c r="D36" s="21">
        <f>'FS Data'!D13/'FS Data'!D5</f>
        <v>0.11556593881511106</v>
      </c>
      <c r="E36" s="21">
        <f>'FS Data'!E13/'FS Data'!E5</f>
        <v>0.12582819612483054</v>
      </c>
      <c r="F36" s="21">
        <f>'FS Data'!F13/'FS Data'!F5</f>
        <v>0.12582819612483054</v>
      </c>
      <c r="G36" s="21">
        <f>'FS Data'!G13/'FS Data'!G5</f>
        <v>0.12696425395380553</v>
      </c>
    </row>
    <row r="37" spans="1:7" x14ac:dyDescent="0.2">
      <c r="A37" s="19" t="s">
        <v>104</v>
      </c>
      <c r="B37" s="21">
        <f>'FS Data'!B22/'FS Data'!B5</f>
        <v>0.20930424832579508</v>
      </c>
      <c r="C37" s="21">
        <f>'FS Data'!C22/'FS Data'!C5</f>
        <v>0.20584500466398634</v>
      </c>
      <c r="D37" s="21">
        <f>'FS Data'!D22/'FS Data'!D5</f>
        <v>0.18869477035759988</v>
      </c>
      <c r="E37" s="21">
        <f>'FS Data'!E22/'FS Data'!E5</f>
        <v>0.20172091348459301</v>
      </c>
      <c r="F37" s="21">
        <f>'FS Data'!F22/'FS Data'!F5</f>
        <v>8.9776647923375349E-2</v>
      </c>
      <c r="G37" s="21">
        <f>'FS Data'!G22/'FS Data'!G5</f>
        <v>9.0596019153658905E-2</v>
      </c>
    </row>
    <row r="38" spans="1:7" x14ac:dyDescent="0.2">
      <c r="A38" s="19" t="s">
        <v>114</v>
      </c>
      <c r="B38" s="21">
        <f>'FS Data'!B13/'FS Data'!B40</f>
        <v>0.17761564591207968</v>
      </c>
      <c r="C38" s="21">
        <f>'FS Data'!C13/'FS Data'!C40</f>
        <v>0.19653836323527576</v>
      </c>
      <c r="D38" s="21">
        <f>'FS Data'!D13/'FS Data'!D40</f>
        <v>0.17112531789203758</v>
      </c>
      <c r="E38" s="21">
        <f>'FS Data'!E13/'FS Data'!E40</f>
        <v>0.1711535388914206</v>
      </c>
      <c r="F38" s="21">
        <f>'FS Data'!F13/'FS Data'!F40</f>
        <v>0.1573837422874127</v>
      </c>
      <c r="G38" s="21">
        <f>'FS Data'!G13/'FS Data'!G40</f>
        <v>0.159280364353306</v>
      </c>
    </row>
    <row r="39" spans="1:7" x14ac:dyDescent="0.2">
      <c r="A39" s="58" t="s">
        <v>116</v>
      </c>
      <c r="B39" s="21">
        <f>('FS Data'!B13*(1-('FS Data'!B18/'FS Data'!B16)))/('FS Data'!B45+'FS Data'!B50+'FS Data'!B58)</f>
        <v>0.23373901881702816</v>
      </c>
      <c r="C39" s="21">
        <f>('FS Data'!C13*(1-('FS Data'!C18/'FS Data'!C16)))/('FS Data'!C45+'FS Data'!C50+'FS Data'!C58)</f>
        <v>0.255946780271675</v>
      </c>
      <c r="D39" s="21">
        <f>('FS Data'!D13*(1-('FS Data'!D18/'FS Data'!D16)))/('FS Data'!D45+'FS Data'!D50+'FS Data'!D58)</f>
        <v>0.19484035608381273</v>
      </c>
      <c r="E39" s="21">
        <f>('FS Data'!E13*(1-('FS Data'!E18/'FS Data'!E16)))/('FS Data'!E45+'FS Data'!E50+'FS Data'!E58)</f>
        <v>0.19438031366072739</v>
      </c>
      <c r="F39" s="21">
        <f>('FS Data'!F13*(1-('FS Data'!F18/'FS Data'!F16)))/('FS Data'!F45+'FS Data'!F50+'FS Data'!F58)</f>
        <v>0.24861515713241153</v>
      </c>
      <c r="G39" s="21">
        <f>('FS Data'!G13*(1-('FS Data'!G18/'FS Data'!G16)))/('FS Data'!G45+'FS Data'!G50+'FS Data'!G58)</f>
        <v>0.23251457609820708</v>
      </c>
    </row>
    <row r="40" spans="1:7" x14ac:dyDescent="0.2">
      <c r="A40" s="19" t="s">
        <v>102</v>
      </c>
      <c r="B40" s="21">
        <f>'FS Data'!B22/'FS Data'!B40</f>
        <v>0.28903612559082514</v>
      </c>
      <c r="C40" s="21">
        <f>'FS Data'!C22/'FS Data'!C40</f>
        <v>0.30930353790828952</v>
      </c>
      <c r="D40" s="21">
        <f>'FS Data'!D22/'FS Data'!D40</f>
        <v>0.27941150215263172</v>
      </c>
      <c r="E40" s="21">
        <f>'FS Data'!E22/'FS Data'!E40</f>
        <v>0.27438403533216571</v>
      </c>
      <c r="F40" s="21">
        <f>'FS Data'!F22/'FS Data'!F40</f>
        <v>0.11229108622190637</v>
      </c>
      <c r="G40" s="21">
        <f>'FS Data'!G22/'FS Data'!G40</f>
        <v>0.11365535172603879</v>
      </c>
    </row>
    <row r="41" spans="1:7" x14ac:dyDescent="0.2">
      <c r="A41" s="19" t="s">
        <v>110</v>
      </c>
      <c r="B41" s="21">
        <f>'FS Data'!B22/'FS Data'!B58</f>
        <v>0.52628715744957222</v>
      </c>
      <c r="C41" s="21">
        <f>'FS Data'!C22/'FS Data'!C58</f>
        <v>0.55738475184164227</v>
      </c>
      <c r="D41" s="21">
        <f>'FS Data'!D22/'FS Data'!D58</f>
        <v>0.45722578672267278</v>
      </c>
      <c r="E41" s="21">
        <f>'FS Data'!E22/'FS Data'!E58</f>
        <v>0.44880906114073099</v>
      </c>
      <c r="F41" s="21">
        <f>'FS Data'!F22/'FS Data'!F58</f>
        <v>0.25800492248115231</v>
      </c>
      <c r="G41" s="21">
        <f>'FS Data'!G22/'FS Data'!G58</f>
        <v>0.24047765701368601</v>
      </c>
    </row>
    <row r="43" spans="1:7" x14ac:dyDescent="0.2">
      <c r="A43" s="57" t="s">
        <v>76</v>
      </c>
      <c r="B43" s="20"/>
    </row>
    <row r="44" spans="1:7" x14ac:dyDescent="0.2">
      <c r="A44" s="19" t="s">
        <v>120</v>
      </c>
      <c r="B44" s="20">
        <f>'FS Data'!B66/'FS Data'!B22</f>
        <v>24.731814080237282</v>
      </c>
      <c r="C44" s="20">
        <f>'FS Data'!C66/'FS Data'!C22</f>
        <v>12.719699310980152</v>
      </c>
      <c r="D44" s="20">
        <f>'FS Data'!D66/'FS Data'!D22</f>
        <v>17.749214200460898</v>
      </c>
      <c r="E44" s="20">
        <f>'FS Data'!E66/'FS Data'!E22</f>
        <v>16.872033471306256</v>
      </c>
      <c r="F44" s="20">
        <f>'FS Data'!F66/'FS Data'!F22</f>
        <v>16.872033471306256</v>
      </c>
      <c r="G44" s="20">
        <f>'FS Data'!G66/'FS Data'!G22</f>
        <v>16.872033471306256</v>
      </c>
    </row>
    <row r="45" spans="1:7" x14ac:dyDescent="0.2">
      <c r="A45" s="19" t="s">
        <v>121</v>
      </c>
      <c r="B45" s="20">
        <f>'FS Data'!B66/('FS Data'!B22+'FS Data'!B12)</f>
        <v>22.359915597513798</v>
      </c>
      <c r="C45" s="20">
        <f>'FS Data'!C66/('FS Data'!C22+'FS Data'!C12)</f>
        <v>11.527944594341321</v>
      </c>
      <c r="D45" s="20">
        <f>'FS Data'!D66/('FS Data'!D22+'FS Data'!D12)</f>
        <v>15.907331186594815</v>
      </c>
      <c r="E45" s="20">
        <f>'FS Data'!E66/('FS Data'!E22+'FS Data'!E12)</f>
        <v>15.210461272131369</v>
      </c>
      <c r="F45" s="20">
        <f>'FS Data'!F66/('FS Data'!F22+'FS Data'!F12)</f>
        <v>13.546929413899342</v>
      </c>
      <c r="G45" s="20">
        <f>'FS Data'!G66/('FS Data'!G22+'FS Data'!G12)</f>
        <v>13.571118811956843</v>
      </c>
    </row>
    <row r="46" spans="1:7" x14ac:dyDescent="0.2">
      <c r="A46" s="19" t="s">
        <v>122</v>
      </c>
      <c r="B46" s="20">
        <f>'FS Data'!B66/'FS Data'!B58</f>
        <v>13.016036130859385</v>
      </c>
      <c r="C46" s="20">
        <f>'FS Data'!C66/'FS Data'!C58</f>
        <v>7.08976644395098</v>
      </c>
      <c r="D46" s="20">
        <f>'FS Data'!D66/'FS Data'!D58</f>
        <v>8.1153984265149681</v>
      </c>
      <c r="E46" s="20">
        <f>'FS Data'!E66/'FS Data'!E58</f>
        <v>7.572321501791949</v>
      </c>
      <c r="F46" s="20">
        <f>'FS Data'!F66/'FS Data'!F58</f>
        <v>4.3530676878637786</v>
      </c>
      <c r="G46" s="20">
        <f>'FS Data'!G66/'FS Data'!G58</f>
        <v>4.0573470782362167</v>
      </c>
    </row>
    <row r="48" spans="1:7" x14ac:dyDescent="0.2">
      <c r="A48" s="57" t="s">
        <v>77</v>
      </c>
    </row>
    <row r="49" spans="1:7" x14ac:dyDescent="0.2">
      <c r="A49" s="46" t="s">
        <v>80</v>
      </c>
      <c r="B49" s="47"/>
      <c r="C49" s="47"/>
      <c r="D49" s="47"/>
      <c r="E49" s="47"/>
      <c r="F49" s="47"/>
      <c r="G49" s="47"/>
    </row>
    <row r="50" spans="1:7" x14ac:dyDescent="0.2">
      <c r="A50" s="48" t="s">
        <v>94</v>
      </c>
      <c r="B50" s="49">
        <f>'FS Data'!B22/'FS Data'!B58</f>
        <v>0.52628715744957222</v>
      </c>
      <c r="C50" s="49">
        <f>'FS Data'!C22/'FS Data'!C58</f>
        <v>0.55738475184164227</v>
      </c>
      <c r="D50" s="49">
        <f>'FS Data'!D22/'FS Data'!D58</f>
        <v>0.45722578672267278</v>
      </c>
      <c r="E50" s="49">
        <f>'FS Data'!E22/'FS Data'!E58</f>
        <v>0.44880906114073099</v>
      </c>
      <c r="F50" s="49">
        <f>'FS Data'!F22/'FS Data'!F58</f>
        <v>0.25800492248115231</v>
      </c>
      <c r="G50" s="49">
        <f>'FS Data'!G22/'FS Data'!G58</f>
        <v>0.24047765701368601</v>
      </c>
    </row>
    <row r="51" spans="1:7" x14ac:dyDescent="0.2">
      <c r="A51" s="50"/>
      <c r="B51" s="51"/>
      <c r="C51" s="51"/>
      <c r="D51" s="51"/>
      <c r="E51" s="51"/>
      <c r="F51" s="51"/>
      <c r="G51" s="51"/>
    </row>
    <row r="52" spans="1:7" x14ac:dyDescent="0.2">
      <c r="A52" s="52" t="s">
        <v>83</v>
      </c>
      <c r="B52" s="47"/>
      <c r="C52" s="47"/>
      <c r="D52" s="47"/>
      <c r="E52" s="47"/>
      <c r="F52" s="47"/>
      <c r="G52" s="47"/>
    </row>
    <row r="53" spans="1:7" x14ac:dyDescent="0.2">
      <c r="A53" s="48" t="s">
        <v>81</v>
      </c>
      <c r="B53" s="51">
        <f>'FS Data'!B22/'FS Data'!B40</f>
        <v>0.28903612559082514</v>
      </c>
      <c r="C53" s="51">
        <f>'FS Data'!C22/'FS Data'!C40</f>
        <v>0.30930353790828952</v>
      </c>
      <c r="D53" s="51">
        <f>'FS Data'!D22/'FS Data'!D40</f>
        <v>0.27941150215263172</v>
      </c>
      <c r="E53" s="51">
        <f>'FS Data'!E22/'FS Data'!E40</f>
        <v>0.27438403533216571</v>
      </c>
      <c r="F53" s="51">
        <f>'FS Data'!F22/'FS Data'!F40</f>
        <v>0.11229108622190637</v>
      </c>
      <c r="G53" s="51">
        <f>'FS Data'!G22/'FS Data'!G40</f>
        <v>0.11365535172603879</v>
      </c>
    </row>
    <row r="54" spans="1:7" x14ac:dyDescent="0.2">
      <c r="A54" s="48" t="s">
        <v>90</v>
      </c>
      <c r="B54" s="51">
        <f>'FS Data'!B40/'FS Data'!B58</f>
        <v>1.8208352204202052</v>
      </c>
      <c r="C54" s="51">
        <f>'FS Data'!C40/'FS Data'!C58</f>
        <v>1.8020639389094553</v>
      </c>
      <c r="D54" s="51">
        <f>'FS Data'!D40/'FS Data'!D58</f>
        <v>1.6363885638212128</v>
      </c>
      <c r="E54" s="51">
        <f>'FS Data'!E40/'FS Data'!E58</f>
        <v>1.6356967000554847</v>
      </c>
      <c r="F54" s="51">
        <f>'FS Data'!F40/'FS Data'!F58</f>
        <v>2.2976438394343299</v>
      </c>
      <c r="G54" s="51">
        <f>'FS Data'!G40/'FS Data'!G58</f>
        <v>2.1158498333923315</v>
      </c>
    </row>
    <row r="55" spans="1:7" x14ac:dyDescent="0.2">
      <c r="A55" s="53" t="s">
        <v>91</v>
      </c>
      <c r="B55" s="49">
        <f t="shared" ref="B55:G55" si="1">B53*B54</f>
        <v>0.52628715744957222</v>
      </c>
      <c r="C55" s="49">
        <f t="shared" si="1"/>
        <v>0.55738475184164227</v>
      </c>
      <c r="D55" s="49">
        <f t="shared" si="1"/>
        <v>0.45722578672267272</v>
      </c>
      <c r="E55" s="49">
        <f t="shared" si="1"/>
        <v>0.44880906114073099</v>
      </c>
      <c r="F55" s="49">
        <f t="shared" si="1"/>
        <v>0.25800492248115231</v>
      </c>
      <c r="G55" s="49">
        <f t="shared" si="1"/>
        <v>0.24047765701368601</v>
      </c>
    </row>
    <row r="56" spans="1:7" x14ac:dyDescent="0.2">
      <c r="A56" s="50"/>
      <c r="B56" s="51"/>
      <c r="C56" s="51"/>
      <c r="D56" s="51"/>
      <c r="E56" s="51"/>
      <c r="F56" s="51"/>
      <c r="G56" s="51"/>
    </row>
    <row r="57" spans="1:7" x14ac:dyDescent="0.2">
      <c r="A57" s="46" t="s">
        <v>82</v>
      </c>
      <c r="B57" s="47"/>
      <c r="C57" s="47"/>
      <c r="D57" s="47"/>
      <c r="E57" s="47"/>
      <c r="F57" s="47"/>
      <c r="G57" s="47"/>
    </row>
    <row r="58" spans="1:7" x14ac:dyDescent="0.2">
      <c r="A58" s="48" t="s">
        <v>81</v>
      </c>
      <c r="B58" s="49">
        <f>'FS Data'!B22/'FS Data'!B40</f>
        <v>0.28903612559082514</v>
      </c>
      <c r="C58" s="49">
        <f>'FS Data'!C22/'FS Data'!C40</f>
        <v>0.30930353790828952</v>
      </c>
      <c r="D58" s="49">
        <f>'FS Data'!D22/'FS Data'!D40</f>
        <v>0.27941150215263172</v>
      </c>
      <c r="E58" s="49">
        <f>'FS Data'!E22/'FS Data'!E40</f>
        <v>0.27438403533216571</v>
      </c>
      <c r="F58" s="49">
        <f>'FS Data'!F22/'FS Data'!F40</f>
        <v>0.11229108622190637</v>
      </c>
      <c r="G58" s="49">
        <f>'FS Data'!G22/'FS Data'!G40</f>
        <v>0.11365535172603879</v>
      </c>
    </row>
    <row r="59" spans="1:7" x14ac:dyDescent="0.2">
      <c r="A59" s="50"/>
      <c r="B59" s="51"/>
      <c r="C59" s="51"/>
      <c r="D59" s="51"/>
      <c r="E59" s="51"/>
      <c r="F59" s="51"/>
      <c r="G59" s="51"/>
    </row>
    <row r="60" spans="1:7" x14ac:dyDescent="0.2">
      <c r="A60" s="52" t="s">
        <v>84</v>
      </c>
      <c r="B60" s="51"/>
      <c r="C60" s="51"/>
      <c r="D60" s="51"/>
      <c r="E60" s="51"/>
      <c r="F60" s="51"/>
      <c r="G60" s="51"/>
    </row>
    <row r="61" spans="1:7" x14ac:dyDescent="0.2">
      <c r="A61" s="48" t="s">
        <v>89</v>
      </c>
      <c r="B61" s="54">
        <f>'FS Data'!B22/'FS Data'!B5</f>
        <v>0.20930424832579508</v>
      </c>
      <c r="C61" s="54">
        <f>'FS Data'!C22/'FS Data'!C5</f>
        <v>0.20584500466398634</v>
      </c>
      <c r="D61" s="54">
        <f>'FS Data'!D22/'FS Data'!D5</f>
        <v>0.18869477035759988</v>
      </c>
      <c r="E61" s="54">
        <f>'FS Data'!E22/'FS Data'!E5</f>
        <v>0.20172091348459301</v>
      </c>
      <c r="F61" s="54">
        <f>'FS Data'!F22/'FS Data'!F5</f>
        <v>8.9776647923375349E-2</v>
      </c>
      <c r="G61" s="54">
        <f>'FS Data'!G22/'FS Data'!G5</f>
        <v>9.0596019153658905E-2</v>
      </c>
    </row>
    <row r="62" spans="1:7" x14ac:dyDescent="0.2">
      <c r="A62" s="48" t="s">
        <v>92</v>
      </c>
      <c r="B62" s="55">
        <f>'FS Data'!B5/'FS Data'!B40</f>
        <v>1.3809376919140333</v>
      </c>
      <c r="C62" s="55">
        <f>'FS Data'!C5/'FS Data'!C40</f>
        <v>1.5026040511072154</v>
      </c>
      <c r="D62" s="55">
        <f>'FS Data'!D5/'FS Data'!D40</f>
        <v>1.4807591202613217</v>
      </c>
      <c r="E62" s="55">
        <f>'FS Data'!E5/'FS Data'!E40</f>
        <v>1.3602161054714963</v>
      </c>
      <c r="F62" s="55">
        <f>'FS Data'!F5/'FS Data'!F40</f>
        <v>1.2507827906177469</v>
      </c>
      <c r="G62" s="55">
        <f>'FS Data'!G5/'FS Data'!G40</f>
        <v>1.2545292032453348</v>
      </c>
    </row>
    <row r="63" spans="1:7" x14ac:dyDescent="0.2">
      <c r="A63" s="53" t="s">
        <v>93</v>
      </c>
      <c r="B63" s="49">
        <f>B61*B62</f>
        <v>0.28903612559082514</v>
      </c>
      <c r="C63" s="49">
        <f t="shared" ref="C63:E63" si="2">C61*C62</f>
        <v>0.30930353790828952</v>
      </c>
      <c r="D63" s="49">
        <f t="shared" si="2"/>
        <v>0.27941150215263172</v>
      </c>
      <c r="E63" s="49">
        <f t="shared" si="2"/>
        <v>0.27438403533216577</v>
      </c>
      <c r="F63" s="49">
        <f t="shared" ref="F63:G63" si="3">F61*F62</f>
        <v>0.11229108622190637</v>
      </c>
      <c r="G63" s="49">
        <f t="shared" si="3"/>
        <v>0.1136553517260388</v>
      </c>
    </row>
    <row r="65" spans="1:7" x14ac:dyDescent="0.2">
      <c r="A65" s="5" t="s">
        <v>87</v>
      </c>
    </row>
    <row r="66" spans="1:7" x14ac:dyDescent="0.2">
      <c r="A66" s="39" t="s">
        <v>89</v>
      </c>
      <c r="B66" s="21">
        <f>'FS Data'!B22/'FS Data'!B5</f>
        <v>0.20930424832579508</v>
      </c>
      <c r="C66" s="21">
        <f>'FS Data'!C22/'FS Data'!C5</f>
        <v>0.20584500466398634</v>
      </c>
      <c r="D66" s="21">
        <f>'FS Data'!D22/'FS Data'!D5</f>
        <v>0.18869477035759988</v>
      </c>
      <c r="E66" s="21">
        <f>'FS Data'!E22/'FS Data'!E5</f>
        <v>0.20172091348459301</v>
      </c>
      <c r="F66" s="21">
        <f>'FS Data'!F22/'FS Data'!F5</f>
        <v>8.9776647923375349E-2</v>
      </c>
      <c r="G66" s="21">
        <f>'FS Data'!G22/'FS Data'!G5</f>
        <v>9.0596019153658905E-2</v>
      </c>
    </row>
    <row r="67" spans="1:7" x14ac:dyDescent="0.2">
      <c r="A67" s="39" t="s">
        <v>88</v>
      </c>
      <c r="B67" s="21">
        <f>'FS Data'!B5/'FS Data'!B58</f>
        <v>2.5144599866428581</v>
      </c>
      <c r="C67" s="21">
        <f>'FS Data'!C5/'FS Data'!C58</f>
        <v>2.7077885749595727</v>
      </c>
      <c r="D67" s="21">
        <f>'FS Data'!D5/'FS Data'!D58</f>
        <v>2.4230972901695869</v>
      </c>
      <c r="E67" s="21">
        <f>'FS Data'!E5/'FS Data'!E58</f>
        <v>2.2249009950820495</v>
      </c>
      <c r="F67" s="21">
        <f>'FS Data'!F5/'FS Data'!F58</f>
        <v>2.8738533733333451</v>
      </c>
      <c r="G67" s="21">
        <f>'FS Data'!G5/'FS Data'!G58</f>
        <v>2.6543954056724561</v>
      </c>
    </row>
    <row r="68" spans="1:7" s="1" customFormat="1" x14ac:dyDescent="0.2">
      <c r="A68" s="45" t="s">
        <v>98</v>
      </c>
      <c r="B68" s="56">
        <f>B66*B67</f>
        <v>0.52628715744957211</v>
      </c>
      <c r="C68" s="56">
        <f>C66*C67</f>
        <v>0.55738475184164216</v>
      </c>
      <c r="D68" s="56">
        <f t="shared" ref="D68:E68" si="4">D66*D67</f>
        <v>0.45722578672267272</v>
      </c>
      <c r="E68" s="56">
        <f t="shared" si="4"/>
        <v>0.44880906114073099</v>
      </c>
      <c r="F68" s="56">
        <f t="shared" ref="F68:G68" si="5">F66*F67</f>
        <v>0.25800492248115231</v>
      </c>
      <c r="G68" s="56">
        <f t="shared" si="5"/>
        <v>0.24047765701368604</v>
      </c>
    </row>
    <row r="69" spans="1:7" x14ac:dyDescent="0.2">
      <c r="A69" s="1"/>
    </row>
    <row r="70" spans="1:7" x14ac:dyDescent="0.2">
      <c r="A70" s="5" t="s">
        <v>86</v>
      </c>
    </row>
    <row r="71" spans="1:7" x14ac:dyDescent="0.2">
      <c r="A71" s="82" t="s">
        <v>89</v>
      </c>
      <c r="B71" s="83">
        <f>'FS Data'!B22/'FS Data'!B5</f>
        <v>0.20930424832579508</v>
      </c>
      <c r="C71" s="83">
        <f>'FS Data'!C22/'FS Data'!C5</f>
        <v>0.20584500466398634</v>
      </c>
      <c r="D71" s="83">
        <f>'FS Data'!D22/'FS Data'!D5</f>
        <v>0.18869477035759988</v>
      </c>
      <c r="E71" s="83">
        <f>'FS Data'!E22/'FS Data'!E5</f>
        <v>0.20172091348459301</v>
      </c>
      <c r="F71" s="83">
        <f>'FS Data'!F22/'FS Data'!F5</f>
        <v>8.9776647923375349E-2</v>
      </c>
      <c r="G71" s="83">
        <f>'FS Data'!G22/'FS Data'!G5</f>
        <v>9.0596019153658905E-2</v>
      </c>
    </row>
    <row r="72" spans="1:7" x14ac:dyDescent="0.2">
      <c r="A72" s="82" t="s">
        <v>92</v>
      </c>
      <c r="B72" s="70">
        <f>'FS Data'!B5/'FS Data'!B40</f>
        <v>1.3809376919140333</v>
      </c>
      <c r="C72" s="70">
        <f>'FS Data'!C5/'FS Data'!C40</f>
        <v>1.5026040511072154</v>
      </c>
      <c r="D72" s="70">
        <f>'FS Data'!D5/'FS Data'!D40</f>
        <v>1.4807591202613217</v>
      </c>
      <c r="E72" s="70">
        <f>'FS Data'!E5/'FS Data'!E40</f>
        <v>1.3602161054714963</v>
      </c>
      <c r="F72" s="70">
        <f>'FS Data'!F5/'FS Data'!F40</f>
        <v>1.2507827906177469</v>
      </c>
      <c r="G72" s="70">
        <f>'FS Data'!G5/'FS Data'!G40</f>
        <v>1.2545292032453348</v>
      </c>
    </row>
    <row r="73" spans="1:7" x14ac:dyDescent="0.2">
      <c r="A73" s="82" t="s">
        <v>90</v>
      </c>
      <c r="B73" s="83">
        <f>'FS Data'!B40/'FS Data'!B58</f>
        <v>1.8208352204202052</v>
      </c>
      <c r="C73" s="83">
        <f>'FS Data'!C40/'FS Data'!C58</f>
        <v>1.8020639389094553</v>
      </c>
      <c r="D73" s="83">
        <f>'FS Data'!D40/'FS Data'!D58</f>
        <v>1.6363885638212128</v>
      </c>
      <c r="E73" s="83">
        <f>'FS Data'!E40/'FS Data'!E58</f>
        <v>1.6356967000554847</v>
      </c>
      <c r="F73" s="83">
        <f>'FS Data'!F40/'FS Data'!F58</f>
        <v>2.2976438394343299</v>
      </c>
      <c r="G73" s="83">
        <f>'FS Data'!G40/'FS Data'!G58</f>
        <v>2.1158498333923315</v>
      </c>
    </row>
    <row r="74" spans="1:7" s="1" customFormat="1" x14ac:dyDescent="0.2">
      <c r="A74" s="84" t="s">
        <v>99</v>
      </c>
      <c r="B74" s="85">
        <f>B71*B72*B73</f>
        <v>0.52628715744957222</v>
      </c>
      <c r="C74" s="85">
        <f t="shared" ref="C74:E74" si="6">C71*C72*C73</f>
        <v>0.55738475184164227</v>
      </c>
      <c r="D74" s="85">
        <f t="shared" si="6"/>
        <v>0.45722578672267272</v>
      </c>
      <c r="E74" s="85">
        <f t="shared" si="6"/>
        <v>0.44880906114073105</v>
      </c>
      <c r="F74" s="85">
        <f t="shared" ref="F74:G74" si="7">F71*F72*F73</f>
        <v>0.25800492248115231</v>
      </c>
      <c r="G74" s="85">
        <f t="shared" si="7"/>
        <v>0.24047765701368604</v>
      </c>
    </row>
    <row r="76" spans="1:7" x14ac:dyDescent="0.2">
      <c r="A76" s="5" t="s">
        <v>85</v>
      </c>
    </row>
    <row r="77" spans="1:7" x14ac:dyDescent="0.2">
      <c r="A77" s="82" t="s">
        <v>95</v>
      </c>
      <c r="B77" s="86">
        <f>'FS Data'!B22/'FS Data'!B16</f>
        <v>1.6422116521481254</v>
      </c>
      <c r="C77" s="86">
        <f>'FS Data'!C22/'FS Data'!C16</f>
        <v>1.5830952445761091</v>
      </c>
      <c r="D77" s="86">
        <f>'FS Data'!D22/'FS Data'!D16</f>
        <v>1.643283978649827</v>
      </c>
      <c r="E77" s="86">
        <f>'FS Data'!E22/'FS Data'!E16</f>
        <v>1.6149109959114578</v>
      </c>
      <c r="F77" s="86">
        <f>'FS Data'!F22/'FS Data'!F16</f>
        <v>0.71872218602957971</v>
      </c>
      <c r="G77" s="86">
        <f>'FS Data'!G22/'FS Data'!G16</f>
        <v>0.71872218602957982</v>
      </c>
    </row>
    <row r="78" spans="1:7" x14ac:dyDescent="0.2">
      <c r="A78" s="82" t="s">
        <v>96</v>
      </c>
      <c r="B78" s="86">
        <f>'FS Data'!B16/'FS Data'!B13</f>
        <v>0.99092726549883803</v>
      </c>
      <c r="C78" s="86">
        <f>'FS Data'!C16/'FS Data'!C13</f>
        <v>0.99410099469455693</v>
      </c>
      <c r="D78" s="86">
        <f>'FS Data'!D16/'FS Data'!D13</f>
        <v>0.99361328867854193</v>
      </c>
      <c r="E78" s="86">
        <f>'FS Data'!E16/'FS Data'!E13</f>
        <v>0.99271449661117306</v>
      </c>
      <c r="F78" s="86">
        <f>'FS Data'!F16/'FS Data'!F13</f>
        <v>0.99271449661117306</v>
      </c>
      <c r="G78" s="86">
        <f>'FS Data'!G16/'FS Data'!G13</f>
        <v>0.99281104186594538</v>
      </c>
    </row>
    <row r="79" spans="1:7" x14ac:dyDescent="0.2">
      <c r="A79" s="82" t="s">
        <v>97</v>
      </c>
      <c r="B79" s="83">
        <f>'FS Data'!B13/'FS Data'!B5</f>
        <v>0.12861959446258397</v>
      </c>
      <c r="C79" s="83">
        <f>'FS Data'!C13/'FS Data'!C5</f>
        <v>0.13079850482930194</v>
      </c>
      <c r="D79" s="83">
        <f>'FS Data'!D13/'FS Data'!D5</f>
        <v>0.11556593881511106</v>
      </c>
      <c r="E79" s="83">
        <f>'FS Data'!E13/'FS Data'!E5</f>
        <v>0.12582819612483054</v>
      </c>
      <c r="F79" s="83">
        <f>'FS Data'!F13/'FS Data'!F5</f>
        <v>0.12582819612483054</v>
      </c>
      <c r="G79" s="83">
        <f>'FS Data'!G13/'FS Data'!G5</f>
        <v>0.12696425395380553</v>
      </c>
    </row>
    <row r="80" spans="1:7" x14ac:dyDescent="0.2">
      <c r="A80" s="82" t="s">
        <v>92</v>
      </c>
      <c r="B80" s="70">
        <f>'FS Data'!B5/'FS Data'!B40</f>
        <v>1.3809376919140333</v>
      </c>
      <c r="C80" s="70">
        <f>'FS Data'!C5/'FS Data'!C40</f>
        <v>1.5026040511072154</v>
      </c>
      <c r="D80" s="70">
        <f>'FS Data'!D5/'FS Data'!D40</f>
        <v>1.4807591202613217</v>
      </c>
      <c r="E80" s="70">
        <f>'FS Data'!E5/'FS Data'!E40</f>
        <v>1.3602161054714963</v>
      </c>
      <c r="F80" s="70">
        <f>'FS Data'!F5/'FS Data'!F40</f>
        <v>1.2507827906177469</v>
      </c>
      <c r="G80" s="70">
        <f>'FS Data'!G5/'FS Data'!G40</f>
        <v>1.2545292032453348</v>
      </c>
    </row>
    <row r="81" spans="1:7" x14ac:dyDescent="0.2">
      <c r="A81" s="82" t="s">
        <v>90</v>
      </c>
      <c r="B81" s="83">
        <f>'FS Data'!B40/'FS Data'!B58</f>
        <v>1.8208352204202052</v>
      </c>
      <c r="C81" s="83">
        <f>'FS Data'!C40/'FS Data'!C58</f>
        <v>1.8020639389094553</v>
      </c>
      <c r="D81" s="83">
        <f>'FS Data'!D40/'FS Data'!D58</f>
        <v>1.6363885638212128</v>
      </c>
      <c r="E81" s="83">
        <f>'FS Data'!E40/'FS Data'!E58</f>
        <v>1.6356967000554847</v>
      </c>
      <c r="F81" s="83">
        <f>'FS Data'!F40/'FS Data'!F58</f>
        <v>2.2976438394343299</v>
      </c>
      <c r="G81" s="83">
        <f>'FS Data'!G40/'FS Data'!G58</f>
        <v>2.1158498333923315</v>
      </c>
    </row>
    <row r="82" spans="1:7" s="1" customFormat="1" x14ac:dyDescent="0.2">
      <c r="A82" s="84" t="s">
        <v>100</v>
      </c>
      <c r="B82" s="85">
        <f>B77*B78*B79*B80*B81</f>
        <v>0.52628715744957222</v>
      </c>
      <c r="C82" s="85">
        <f t="shared" ref="C82:E82" si="8">C77*C78*C79*C80*C81</f>
        <v>0.55738475184164227</v>
      </c>
      <c r="D82" s="85">
        <f t="shared" si="8"/>
        <v>0.45722578672267261</v>
      </c>
      <c r="E82" s="85">
        <f t="shared" si="8"/>
        <v>0.44880906114073105</v>
      </c>
      <c r="F82" s="85">
        <f t="shared" ref="F82:G82" si="9">F77*F78*F79*F80*F81</f>
        <v>0.25800492248115231</v>
      </c>
      <c r="G82" s="85">
        <f t="shared" si="9"/>
        <v>0.24047765701368604</v>
      </c>
    </row>
  </sheetData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 Data</vt:lpstr>
      <vt:lpstr>Ratios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nakarakanti, abhishek</cp:lastModifiedBy>
  <cp:lastPrinted>2024-04-17T21:35:28Z</cp:lastPrinted>
  <dcterms:created xsi:type="dcterms:W3CDTF">2020-03-25T09:21:18Z</dcterms:created>
  <dcterms:modified xsi:type="dcterms:W3CDTF">2025-09-29T04:57:24Z</dcterms:modified>
</cp:coreProperties>
</file>